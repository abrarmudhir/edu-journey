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918CB542-6F97-4387-8EAB-F136A7919164}" xr6:coauthVersionLast="47" xr6:coauthVersionMax="47" xr10:uidLastSave="{00000000-0000-0000-0000-000000000000}"/>
  <bookViews>
    <workbookView xWindow="-96" yWindow="-96" windowWidth="23232" windowHeight="13872" tabRatio="731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Progress" sheetId="7" r:id="rId6"/>
    <sheet name="Class Plan" sheetId="4" r:id="rId7"/>
    <sheet name="Homework" sheetId="6" r:id="rId8"/>
    <sheet name="Assessments" sheetId="8" r:id="rId9"/>
    <sheet name="Lesson Log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0" l="1"/>
  <c r="B28" i="10"/>
  <c r="B27" i="10"/>
  <c r="B26" i="10"/>
  <c r="B25" i="10"/>
  <c r="B24" i="10"/>
  <c r="B23" i="10"/>
  <c r="B22" i="10"/>
  <c r="B21" i="10"/>
  <c r="E15" i="10"/>
  <c r="D15" i="10"/>
  <c r="C15" i="10"/>
  <c r="B15" i="10"/>
  <c r="E14" i="10"/>
  <c r="D14" i="10"/>
  <c r="C14" i="10"/>
  <c r="B14" i="10"/>
  <c r="E13" i="10"/>
  <c r="D13" i="10"/>
  <c r="C13" i="10"/>
  <c r="B13" i="10"/>
  <c r="B8" i="10"/>
  <c r="B7" i="10"/>
  <c r="B6" i="10"/>
  <c r="I5" i="10"/>
  <c r="H5" i="10"/>
  <c r="G5" i="10"/>
  <c r="F5" i="10"/>
  <c r="E5" i="10"/>
  <c r="D5" i="10"/>
  <c r="G104" i="8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H98" i="8"/>
  <c r="G98" i="8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H88" i="8"/>
  <c r="G88" i="8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H78" i="8"/>
  <c r="G78" i="8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H68" i="8"/>
  <c r="G68" i="8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H58" i="8"/>
  <c r="G58" i="8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H48" i="8"/>
  <c r="G48" i="8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H38" i="8"/>
  <c r="G38" i="8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H28" i="8"/>
  <c r="G28" i="8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H18" i="8"/>
  <c r="G18" i="8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H8" i="8"/>
  <c r="G8" i="8"/>
  <c r="G7" i="8"/>
  <c r="H7" i="8" s="1"/>
  <c r="G6" i="8"/>
  <c r="H6" i="8" s="1"/>
  <c r="G5" i="8"/>
  <c r="H5" i="8" s="1"/>
</calcChain>
</file>

<file path=xl/sharedStrings.xml><?xml version="1.0" encoding="utf-8"?>
<sst xmlns="http://schemas.openxmlformats.org/spreadsheetml/2006/main" count="313" uniqueCount="199">
  <si>
    <t>Lists &amp; Settings</t>
  </si>
  <si>
    <t>Dropdown values used throughout the workbook.</t>
  </si>
  <si>
    <t>Students</t>
  </si>
  <si>
    <t>Attendance Status</t>
  </si>
  <si>
    <t>Session</t>
  </si>
  <si>
    <t>Topic Area</t>
  </si>
  <si>
    <t>Homework Status</t>
  </si>
  <si>
    <t>Confidence</t>
  </si>
  <si>
    <t>Mudhir</t>
  </si>
  <si>
    <t>Present</t>
  </si>
  <si>
    <t>Saturday</t>
  </si>
  <si>
    <t>Qur'an – Murājaʿah</t>
  </si>
  <si>
    <t>Not Started</t>
  </si>
  <si>
    <t>1 - Low</t>
  </si>
  <si>
    <t>Nafisa</t>
  </si>
  <si>
    <t>Late</t>
  </si>
  <si>
    <t>Sunday</t>
  </si>
  <si>
    <t>Qur'an – Hifdh / Tajwīd</t>
  </si>
  <si>
    <t>In Progress</t>
  </si>
  <si>
    <t>2</t>
  </si>
  <si>
    <t>Jameela</t>
  </si>
  <si>
    <t>Absent</t>
  </si>
  <si>
    <t>Day 1</t>
  </si>
  <si>
    <t>ʿAqīdah / Tawḥīd</t>
  </si>
  <si>
    <t>Completed</t>
  </si>
  <si>
    <t>3 - Medium</t>
  </si>
  <si>
    <t>Excused</t>
  </si>
  <si>
    <t>Day 2</t>
  </si>
  <si>
    <t>Fiqh</t>
  </si>
  <si>
    <t>Needs Revision</t>
  </si>
  <si>
    <t>4</t>
  </si>
  <si>
    <t>Ḥadīth &amp; Sunnah</t>
  </si>
  <si>
    <t>5 - High</t>
  </si>
  <si>
    <t>Arabic / Vocabulary</t>
  </si>
  <si>
    <t>Duʿā / Adhkār</t>
  </si>
  <si>
    <t>Adab / Character</t>
  </si>
  <si>
    <t>Review / Assessment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</si>
  <si>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</si>
  <si>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</si>
  <si>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</si>
  <si>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</si>
  <si>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</si>
  <si>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</si>
  <si>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</si>
  <si>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</si>
  <si>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</si>
  <si>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</si>
  <si>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</si>
  <si>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Attendance</t>
  </si>
  <si>
    <t>Set homework with a due date and update its status. Use the score and feedback fields where useful.</t>
  </si>
  <si>
    <t>Homework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</si>
  <si>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</si>
  <si>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</si>
  <si>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</si>
  <si>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</si>
  <si>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</si>
  <si>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</si>
  <si>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</si>
  <si>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</si>
  <si>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</si>
  <si>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</si>
  <si>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</si>
  <si>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</si>
  <si>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</si>
  <si>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</si>
  <si>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</si>
  <si>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Age</t>
  </si>
  <si>
    <t>Status</t>
  </si>
  <si>
    <t>Parent / Guardian Contact</t>
  </si>
  <si>
    <t>Current Focus</t>
  </si>
  <si>
    <t>Joined</t>
  </si>
  <si>
    <t>Notes</t>
  </si>
  <si>
    <t>STU001</t>
  </si>
  <si>
    <t>Active</t>
  </si>
  <si>
    <t>To set</t>
  </si>
  <si>
    <t>STU002</t>
  </si>
  <si>
    <t>STU003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</si>
  <si>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</si>
  <si>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</si>
  <si>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</si>
  <si>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</si>
  <si>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</si>
  <si>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</si>
  <si>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</si>
  <si>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</si>
  <si>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</si>
  <si>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</si>
  <si>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</si>
  <si>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Teacher Notes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</si>
  <si>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</si>
  <si>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</si>
  <si>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</si>
  <si>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</si>
  <si>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</si>
  <si>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</si>
  <si>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</si>
  <si>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</si>
  <si>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</si>
  <si>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</si>
  <si>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</si>
  <si>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</si>
  <si>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</si>
  <si>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</si>
  <si>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</si>
  <si>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</si>
  <si>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</si>
  <si>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</si>
  <si>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</si>
  <si>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</si>
  <si>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</si>
  <si>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</si>
  <si>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</si>
  <si>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</si>
  <si>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</si>
  <si>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</si>
  <si>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</si>
  <si>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</si>
  <si>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</si>
  <si>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</si>
  <si>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</si>
  <si>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</si>
  <si>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</si>
  <si>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</si>
  <si>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</si>
  <si>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</si>
  <si>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</si>
  <si>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</si>
  <si>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</si>
  <si>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</si>
  <si>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</si>
  <si>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</si>
  <si>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</si>
  <si>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</si>
  <si>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</si>
  <si>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</si>
  <si>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</si>
  <si>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</si>
  <si>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</si>
  <si>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</si>
  <si>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</si>
  <si>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</si>
  <si>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</si>
  <si>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</si>
  <si>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</si>
  <si>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</si>
  <si>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Attendance &amp; Participation</t>
  </si>
  <si>
    <t>Enter one row per student per class.</t>
  </si>
  <si>
    <t>Date</t>
  </si>
  <si>
    <t>Student</t>
  </si>
  <si>
    <t>Arrival Time</t>
  </si>
  <si>
    <t>Participation (1–5)</t>
  </si>
  <si>
    <t>Adab / Conduct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</si>
  <si>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</si>
  <si>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</si>
  <si>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</si>
  <si>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</si>
  <si>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</si>
  <si>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</si>
  <si>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</si>
  <si>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</si>
  <si>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</si>
  <si>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</si>
  <si>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</si>
  <si>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</si>
  <si>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</si>
  <si>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Next Step</t>
  </si>
  <si>
    <t>Assessments &amp; Quizzes</t>
  </si>
  <si>
    <t>Score and grade calculations are automatic.</t>
  </si>
  <si>
    <t>Assessment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</si>
  <si>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</si>
  <si>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</si>
  <si>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</si>
  <si>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</si>
  <si>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</si>
  <si>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</si>
  <si>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</si>
  <si>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</si>
  <si>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</si>
  <si>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</si>
  <si>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</si>
  <si>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Madrasa Class Dashboard</t>
  </si>
  <si>
    <t>Select a student to view live class-management KPIs. Add records in the tracker tabs and this page updates in Excel.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</si>
  <si>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</si>
  <si>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</si>
  <si>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</si>
  <si>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</si>
  <si>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</si>
  <si>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</si>
  <si>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</si>
  <si>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Avg Mastery</t>
  </si>
  <si>
    <t>Class Avg Mastery</t>
  </si>
  <si>
    <t>ok</t>
  </si>
  <si>
    <t xml:space="preserve">not well behaved </t>
  </si>
  <si>
    <t>came to class with water and not prepared</t>
  </si>
  <si>
    <t>Strong</t>
  </si>
  <si>
    <t>Excellent Read</t>
  </si>
  <si>
    <t>Continue to next page</t>
  </si>
  <si>
    <t>did not read</t>
  </si>
  <si>
    <t>needs 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</si>
</sst>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>
    <font>
      <sz val="11"/>
      <name val="Carlito"/>
    </font>
    <font>
      <b/>
      <sz val="20"/>
      <color rgb="FFFFFFFF"/>
      <name val="Carlito"/>
    </font>
    <font>
      <i/>
      <sz val="10"/>
      <color rgb="FF24342F"/>
      <name val="Carlito"/>
    </font>
    <font>
      <b/>
      <sz val="11"/>
      <color rgb="FFFFFFFF"/>
      <name val="Carlito"/>
    </font>
    <font>
      <b/>
      <sz val="11"/>
      <color rgb="FF073B31"/>
      <name val="Carlito"/>
    </font>
    <font>
      <b/>
      <sz val="11"/>
      <color rgb="FF24342F"/>
      <name val="Carlito"/>
    </font>
    <font>
      <b/>
      <sz val="16"/>
      <color rgb="FF073B3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73B31"/>
      </patternFill>
    </fill>
    <fill>
      <patternFill patternType="solid">
        <fgColor rgb="FFFFF9EC"/>
      </patternFill>
    </fill>
    <fill>
      <patternFill patternType="solid">
        <fgColor rgb="FF0B5D4A"/>
      </patternFill>
    </fill>
    <fill>
      <patternFill patternType="solid">
        <fgColor rgb="FFC9A227"/>
      </patternFill>
    </fill>
    <fill>
      <patternFill patternType="solid">
        <fgColor rgb="FFF7EBC3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4" borderId="0" xfId="0" applyFont="1" applyFill="1"/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4" xfId="0" applyBorder="1"/>
    <xf numFmtId="0" fontId="0" fillId="0" borderId="6" xfId="0" applyBorder="1"/>
    <xf numFmtId="164" fontId="0" fillId="0" borderId="0" xfId="0" applyNumberFormat="1" applyAlignment="1">
      <alignment wrapText="1"/>
    </xf>
    <xf numFmtId="164" fontId="0" fillId="0" borderId="7" xfId="0" applyNumberFormat="1" applyBorder="1" applyAlignment="1">
      <alignment wrapText="1"/>
    </xf>
    <xf numFmtId="9" fontId="0" fillId="0" borderId="0" xfId="0" applyNumberFormat="1"/>
    <xf numFmtId="0" fontId="4" fillId="5" borderId="0" xfId="0" applyFont="1" applyFill="1"/>
    <xf numFmtId="0" fontId="5" fillId="3" borderId="0" xfId="0" applyFont="1" applyFill="1"/>
    <xf numFmtId="9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9" fontId="0" fillId="0" borderId="5" xfId="0" applyNumberFormat="1" applyBorder="1"/>
    <xf numFmtId="9" fontId="0" fillId="0" borderId="7" xfId="0" applyNumberFormat="1" applyBorder="1"/>
    <xf numFmtId="9" fontId="0" fillId="0" borderId="8" xfId="0" applyNumberFormat="1" applyBorder="1"/>
    <xf numFmtId="20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4" fillId="6" borderId="0" xfId="0" applyFont="1" applyFill="1" applyAlignment="1"/>
  </cellXfs>
  <cellStyles count="1">
    <cellStyle name="Normal" xfId="0" builtinId="0"/>
  </cellStyles>
  <dxfs count="11">
    <dxf>
      <fill>
        <patternFill patternType="solid">
          <bgColor rgb="FFF4CCCC"/>
        </patternFill>
      </fill>
    </dxf>
    <dxf>
      <fill>
        <patternFill patternType="solid">
          <bgColor rgb="FFF7EBC3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7EBC3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7EBC3"/>
        </patternFill>
      </fill>
    </dxf>
    <dxf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Student Progress Overview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0.5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49-435F-A393-486F1605FF85}"/>
            </c:ext>
          </c:extLst>
        </c:ser>
        <c:ser>
          <c:idx val="1"/>
          <c:order val="1"/>
          <c:tx>
            <c:v>Attendance</c:v>
          </c:tx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49-435F-A393-486F1605FF85}"/>
            </c:ext>
          </c:extLst>
        </c:ser>
        <c:ser>
          <c:idx val="2"/>
          <c:order val="2"/>
          <c:tx>
            <c:v>Homework</c:v>
          </c:tx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Dashboard!$D$13:$D$15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49-435F-A393-486F1605FF85}"/>
            </c:ext>
          </c:extLst>
        </c:ser>
        <c:ser>
          <c:idx val="3"/>
          <c:order val="3"/>
          <c:tx>
            <c:v>Assessment</c:v>
          </c:tx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Dashboard!$E$13:$E$15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49-435F-A393-486F1605F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Class Mastery by Topic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Class Avg Mastery</c:v>
          </c:tx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50-4570-8C76-9015DCAA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tendanceTable" displayName="AttendanceTable" ref="A4:H104" totalsRowShown="0">
  <tableColumns count="8">
    <tableColumn id="1" xr3:uid="{00000000-0010-0000-0200-000001000000}" name="Date"/>
    <tableColumn id="2" xr3:uid="{00000000-0010-0000-0200-000002000000}" name="Student"/>
    <tableColumn id="3" xr3:uid="{00000000-0010-0000-0200-000003000000}" name="Session"/>
    <tableColumn id="4" xr3:uid="{00000000-0010-0000-0200-000004000000}" name="Status"/>
    <tableColumn id="5" xr3:uid="{00000000-0010-0000-0200-000005000000}" name="Arrival Time"/>
    <tableColumn id="6" xr3:uid="{00000000-0010-0000-0200-000006000000}" name="Participation (1–5)"/>
    <tableColumn id="7" xr3:uid="{00000000-0010-0000-0200-000007000000}" name="Adab / Conduc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udentsTable" displayName="StudentsTable" ref="A4:H50" totalsRowShown="0">
  <tableColumns count="8">
    <tableColumn id="1" xr3:uid="{00000000-0010-0000-0000-000001000000}" name="Student ID"/>
    <tableColumn id="2" xr3:uid="{00000000-0010-0000-0000-000002000000}" name="Name"/>
    <tableColumn id="3" xr3:uid="{00000000-0010-0000-0000-000003000000}" name="Age"/>
    <tableColumn id="4" xr3:uid="{00000000-0010-0000-0000-000004000000}" name="Status"/>
    <tableColumn id="5" xr3:uid="{00000000-0010-0000-0000-000005000000}" name="Parent / Guardian Contact"/>
    <tableColumn id="6" xr3:uid="{00000000-0010-0000-0000-000006000000}" name="Current Focus"/>
    <tableColumn id="7" xr3:uid="{00000000-0010-0000-0000-000007000000}" name="Joined"/>
    <tableColumn id="8" xr3:uid="{00000000-0010-0000-00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gressTable" displayName="ProgressTable" ref="A4:I204" totalsRowShown="0">
  <tableColumns count="9">
    <tableColumn id="1" xr3:uid="{00000000-0010-0000-0400-000001000000}" name="Date"/>
    <tableColumn id="2" xr3:uid="{00000000-0010-0000-0400-000002000000}" name="Student"/>
    <tableColumn id="3" xr3:uid="{00000000-0010-0000-0400-000003000000}" name="Topic Area"/>
    <tableColumn id="4" xr3:uid="{00000000-0010-0000-0400-000004000000}" name="Specific Topic / Sūrah"/>
    <tableColumn id="5" xr3:uid="{00000000-0010-0000-0400-000005000000}" name="Mastery %"/>
    <tableColumn id="6" xr3:uid="{00000000-0010-0000-0400-000006000000}" name="Confidence"/>
    <tableColumn id="7" xr3:uid="{00000000-0010-0000-0400-000007000000}" name="Murājaʿah Status"/>
    <tableColumn id="8" xr3:uid="{00000000-0010-0000-0400-000008000000}" name="Teacher Notes"/>
    <tableColumn id="9" xr3:uid="{00000000-0010-0000-0400-000009000000}" name="Next Ste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assPlanTable" displayName="ClassPlanTable" ref="A4:J16" totalsRowShown="0">
  <tableColumns count="10">
    <tableColumn id="1" xr3:uid="{00000000-0010-0000-0100-000001000000}" name="Day"/>
    <tableColumn id="2" xr3:uid="{00000000-0010-0000-0100-000002000000}" name="Start"/>
    <tableColumn id="3" xr3:uid="{00000000-0010-0000-0100-000003000000}" name="End"/>
    <tableColumn id="4" xr3:uid="{00000000-0010-0000-0100-000004000000}" name="Minutes"/>
    <tableColumn id="5" xr3:uid="{00000000-0010-0000-0100-000005000000}" name="Core Block"/>
    <tableColumn id="6" xr3:uid="{00000000-0010-0000-0100-000006000000}" name="Day 2 Advanced Focus"/>
    <tableColumn id="7" xr3:uid="{00000000-0010-0000-0100-000007000000}" name="Mudhir (11)"/>
    <tableColumn id="8" xr3:uid="{00000000-0010-0000-0100-000008000000}" name="Nafisa (14)"/>
    <tableColumn id="9" xr3:uid="{00000000-0010-0000-0100-000009000000}" name="Jameela (16)"/>
    <tableColumn id="10" xr3:uid="{00000000-0010-0000-0100-00000A000000}" name="Teacher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omeworkTable" displayName="HomeworkTable" ref="A4:I104" totalsRowShown="0">
  <tableColumns count="9">
    <tableColumn id="1" xr3:uid="{00000000-0010-0000-0300-000001000000}" name="Assigned Date"/>
    <tableColumn id="2" xr3:uid="{00000000-0010-0000-0300-000002000000}" name="Student"/>
    <tableColumn id="3" xr3:uid="{00000000-0010-0000-0300-000003000000}" name="Task"/>
    <tableColumn id="4" xr3:uid="{00000000-0010-0000-0300-000004000000}" name="Topic Area"/>
    <tableColumn id="5" xr3:uid="{00000000-0010-0000-0300-000005000000}" name="Due Date"/>
    <tableColumn id="6" xr3:uid="{00000000-0010-0000-0300-000006000000}" name="Status"/>
    <tableColumn id="7" xr3:uid="{00000000-0010-0000-0300-000007000000}" name="Score %"/>
    <tableColumn id="8" xr3:uid="{00000000-0010-0000-0300-000008000000}" name="Feedback"/>
    <tableColumn id="9" xr3:uid="{00000000-0010-0000-0300-000009000000}" name="Next Ac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8"/>
  <sheetViews>
    <sheetView tabSelected="1" zoomScale="74" zoomScaleNormal="74" workbookViewId="0">
      <selection activeCell="B20" sqref="B20"/>
    </sheetView>
  </sheetViews>
  <sheetFormatPr defaultRowHeight="13.8"/>
  <cols>
    <col min="1" max="1" width="24" customWidth="1"/>
    <col min="2" max="2" width="18" customWidth="1"/>
    <col min="3" max="3" width="12.94921875" customWidth="1"/>
    <col min="4" max="4" width="18" customWidth="1"/>
    <col min="5" max="5" width="20" customWidth="1"/>
    <col min="6" max="6" width="19" customWidth="1"/>
    <col min="7" max="7" width="20" customWidth="1"/>
    <col min="8" max="9" width="18" customWidth="1"/>
    <col min="10" max="14" width="14" customWidth="1"/>
  </cols>
  <sheetData>
    <row r="1" spans="1:14" ht="25.2">
      <c r="A1" s="26" t="s">
        <v>180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8.8000000000000007" customHeight="1">
      <c r="A2" s="27" t="s">
        <v>181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4" spans="1:14" ht="11.2" customHeight="1">
      <c r="A4" s="17" t="s">
        <v>182</v>
      </c>
      <c r="B4" s="28" t="s">
        <v>8</v>
      </c>
      <c r="D4" s="2" t="s">
        <v>183</v>
      </c>
      <c r="E4" s="2" t="s">
        <v>184</v>
      </c>
      <c r="F4" s="2" t="s">
        <v>185</v>
      </c>
      <c r="G4" s="2" t="s">
        <v>186</v>
      </c>
      <c r="H4" s="2" t="s">
        <v>187</v>
      </c>
      <c r="I4" s="2" t="s">
        <v>188</v>
      </c>
    </row>
    <row r="5" spans="1:14" ht="13.6" customHeight="1">
      <c r="D5" s="19">
        <f>IFERROR((COUNTIFS(Attendance!$B$5:$B$104,$B$4,Attendance!$D$5:$D$104,"Present")+COUNTIFS(Attendance!$B$5:$B$104,$B$4,Attendance!$D$5:$D$104,"Late"))/COUNTIF(Attendance!$B$5:$B$104,$B$4),0)</f>
        <v>1</v>
      </c>
      <c r="E5" s="19">
        <f>IFERROR(COUNTIFS(Homework!$B$5:$B$104,$B$4,Homework!$F$5:$F$104,"Completed")/COUNTIF(Homework!$B$5:$B$104,$B$4),0)</f>
        <v>0</v>
      </c>
      <c r="F5" s="19">
        <f>IFERROR(SUMIF(Progress!$B$5:$B$204,$B$4,Progress!$E$5:$E$204)/COUNTIF(Progress!$B$5:$B$204,$B$4),0)</f>
        <v>0.5</v>
      </c>
      <c r="G5" s="19">
        <f>IFERROR(SUMIF(Assessments!$B$5:$B$104,$B$4,Assessments!$G$5:$G$104)/COUNTIF(Assessments!$B$5:$B$104,$B$4),0)</f>
        <v>0</v>
      </c>
      <c r="H5" s="20">
        <f>COUNTIF(Attendance!$B$5:$B$104,$B$4)</f>
        <v>1</v>
      </c>
      <c r="I5" s="20">
        <f>COUNTIF(Progress!$B$5:$B$204,$B$4)</f>
        <v>1</v>
      </c>
    </row>
    <row r="6" spans="1:14" ht="14.1">
      <c r="A6" s="1" t="s">
        <v>148</v>
      </c>
      <c r="B6" s="18" t="str">
        <f>B4</f>
        <v>Mudhir</v>
      </c>
    </row>
    <row r="7" spans="1:14" ht="14.1">
      <c r="A7" s="1" t="s">
        <v>66</v>
      </c>
      <c r="B7" s="18">
        <f>IFERROR(VLOOKUP(B4,Students!$B$5:$D$50,2,FALSE),"")</f>
        <v>11</v>
      </c>
    </row>
    <row r="8" spans="1:14" ht="14.1">
      <c r="A8" s="1" t="s">
        <v>67</v>
      </c>
      <c r="B8" s="18" t="str">
        <f>IFERROR(VLOOKUP(B4,Students!$B$5:$D$50,3,FALSE),"")</f>
        <v>Active</v>
      </c>
    </row>
    <row r="12" spans="1:14" ht="11.2" customHeight="1">
      <c r="A12" s="4" t="s">
        <v>148</v>
      </c>
      <c r="B12" s="5" t="s">
        <v>189</v>
      </c>
      <c r="C12" s="5" t="s">
        <v>48</v>
      </c>
      <c r="D12" s="5" t="s">
        <v>50</v>
      </c>
      <c r="E12" s="6" t="s">
        <v>168</v>
      </c>
    </row>
    <row r="13" spans="1:14">
      <c r="A13" s="12" t="s">
        <v>8</v>
      </c>
      <c r="B13" s="16">
        <f>IFERROR(SUMIF(Progress!$B$5:$B$204,A13,Progress!$E$5:$E$204)/COUNTIF(Progress!$B$5:$B$204,A13),0)</f>
        <v>0.5</v>
      </c>
      <c r="C13" s="16">
        <f>IFERROR((COUNTIFS(Attendance!$B$5:$B$104,A13,Attendance!$D$5:$D$104,"Present")+COUNTIFS(Attendance!$B$5:$B$104,A13,Attendance!$D$5:$D$104,"Late"))/COUNTIF(Attendance!$B$5:$B$104,A13),0)</f>
        <v>1</v>
      </c>
      <c r="D13" s="16">
        <f>IFERROR(COUNTIFS(Homework!$B$5:$B$104,A13,Homework!$F$5:$F$104,"Completed")/COUNTIF(Homework!$B$5:$B$104,A13),0)</f>
        <v>0</v>
      </c>
      <c r="E13" s="21">
        <f>IFERROR(SUMIF(Assessments!$B$5:$B$104,A13,Assessments!$G$5:$G$104)/COUNTIF(Assessments!$B$5:$B$104,A13),0)</f>
        <v>0</v>
      </c>
    </row>
    <row r="14" spans="1:14">
      <c r="A14" s="12" t="s">
        <v>14</v>
      </c>
      <c r="B14" s="16">
        <f>IFERROR(SUMIF(Progress!$B$5:$B$204,A14,Progress!$E$5:$E$204)/COUNTIF(Progress!$B$5:$B$204,A14),0)</f>
        <v>0</v>
      </c>
      <c r="C14" s="16">
        <f>IFERROR((COUNTIFS(Attendance!$B$5:$B$104,A14,Attendance!$D$5:$D$104,"Present")+COUNTIFS(Attendance!$B$5:$B$104,A14,Attendance!$D$5:$D$104,"Late"))/COUNTIF(Attendance!$B$5:$B$104,A14),0)</f>
        <v>1</v>
      </c>
      <c r="D14" s="16">
        <f>IFERROR(COUNTIFS(Homework!$B$5:$B$104,A14,Homework!$F$5:$F$104,"Completed")/COUNTIF(Homework!$B$5:$B$104,A14),0)</f>
        <v>0</v>
      </c>
      <c r="E14" s="21">
        <f>IFERROR(SUMIF(Assessments!$B$5:$B$104,A14,Assessments!$G$5:$G$104)/COUNTIF(Assessments!$B$5:$B$104,A14),0)</f>
        <v>0</v>
      </c>
    </row>
    <row r="15" spans="1:14">
      <c r="A15" s="13" t="s">
        <v>20</v>
      </c>
      <c r="B15" s="22">
        <f>IFERROR(SUMIF(Progress!$B$5:$B$204,A15,Progress!$E$5:$E$204)/COUNTIF(Progress!$B$5:$B$204,A15),0)</f>
        <v>1</v>
      </c>
      <c r="C15" s="22">
        <f>IFERROR((COUNTIFS(Attendance!$B$5:$B$104,A15,Attendance!$D$5:$D$104,"Present")+COUNTIFS(Attendance!$B$5:$B$104,A15,Attendance!$D$5:$D$104,"Late"))/COUNTIF(Attendance!$B$5:$B$104,A15),0)</f>
        <v>1</v>
      </c>
      <c r="D15" s="22">
        <f>IFERROR(COUNTIFS(Homework!$B$5:$B$104,A15,Homework!$F$5:$F$104,"Completed")/COUNTIF(Homework!$B$5:$B$104,A15),0)</f>
        <v>0</v>
      </c>
      <c r="E15" s="23">
        <f>IFERROR(SUMIF(Assessments!$B$5:$B$104,A15,Assessments!$G$5:$G$104)/COUNTIF(Assessments!$B$5:$B$104,A15),0)</f>
        <v>0</v>
      </c>
    </row>
    <row r="19" spans="1:2" ht="11.2" customHeight="1">
      <c r="A19" s="4" t="s">
        <v>5</v>
      </c>
      <c r="B19" s="6" t="s">
        <v>190</v>
      </c>
    </row>
    <row r="20" spans="1:2">
      <c r="A20" s="12" t="s">
        <v>11</v>
      </c>
      <c r="B20" s="21">
        <f>IFERROR(SUMIF(Progress!$C$5:$C$204,A20,Progress!$E$5:$E$204)/COUNTIF(Progress!$C$5:$C$204,A20),0)</f>
        <v>0.5</v>
      </c>
    </row>
    <row r="21" spans="1:2">
      <c r="A21" s="12" t="s">
        <v>17</v>
      </c>
      <c r="B21" s="21">
        <f>IFERROR(SUMIF(Progress!$C$5:$C$204,A21,Progress!$E$5:$E$204)/COUNTIF(Progress!$C$5:$C$204,A21),0)</f>
        <v>0</v>
      </c>
    </row>
    <row r="22" spans="1:2">
      <c r="A22" s="12" t="s">
        <v>23</v>
      </c>
      <c r="B22" s="21">
        <f>IFERROR(SUMIF(Progress!$C$5:$C$204,A22,Progress!$E$5:$E$204)/COUNTIF(Progress!$C$5:$C$204,A22),0)</f>
        <v>0</v>
      </c>
    </row>
    <row r="23" spans="1:2">
      <c r="A23" s="12" t="s">
        <v>28</v>
      </c>
      <c r="B23" s="21">
        <f>IFERROR(SUMIF(Progress!$C$5:$C$204,A23,Progress!$E$5:$E$204)/COUNTIF(Progress!$C$5:$C$204,A23),0)</f>
        <v>0</v>
      </c>
    </row>
    <row r="24" spans="1:2">
      <c r="A24" s="12" t="s">
        <v>31</v>
      </c>
      <c r="B24" s="21">
        <f>IFERROR(SUMIF(Progress!$C$5:$C$204,A24,Progress!$E$5:$E$204)/COUNTIF(Progress!$C$5:$C$204,A24),0)</f>
        <v>0</v>
      </c>
    </row>
    <row r="25" spans="1:2">
      <c r="A25" s="12" t="s">
        <v>33</v>
      </c>
      <c r="B25" s="21">
        <f>IFERROR(SUMIF(Progress!$C$5:$C$204,A25,Progress!$E$5:$E$204)/COUNTIF(Progress!$C$5:$C$204,A25),0)</f>
        <v>0</v>
      </c>
    </row>
    <row r="26" spans="1:2">
      <c r="A26" s="12" t="s">
        <v>34</v>
      </c>
      <c r="B26" s="21">
        <f>IFERROR(SUMIF(Progress!$C$5:$C$204,A26,Progress!$E$5:$E$204)/COUNTIF(Progress!$C$5:$C$204,A26),0)</f>
        <v>0</v>
      </c>
    </row>
    <row r="27" spans="1:2">
      <c r="A27" s="12" t="s">
        <v>35</v>
      </c>
      <c r="B27" s="21">
        <f>IFERROR(SUMIF(Progress!$C$5:$C$204,A27,Progress!$E$5:$E$204)/COUNTIF(Progress!$C$5:$C$204,A27),0)</f>
        <v>0</v>
      </c>
    </row>
    <row r="28" spans="1:2">
      <c r="A28" s="13" t="s">
        <v>36</v>
      </c>
      <c r="B28" s="23">
        <f>IFERROR(SUMIF(Progress!$C$5:$C$204,A28,Progress!$E$5:$E$204)/COUNTIF(Progress!$C$5:$C$204,A28),0)</f>
        <v>0</v>
      </c>
    </row>
  </sheetData>
  <mergeCells count="2">
    <mergeCell ref="A1:N1"/>
    <mergeCell ref="A2:N2"/>
  </mergeCells>
  <conditionalFormatting sqref="B20:B28">
    <cfRule type="dataBar" priority="2">
      <dataBar>
        <cfvo type="min"/>
        <cfvo type="max"/>
        <color rgb="FF0B5D4A"/>
      </dataBar>
    </cfRule>
    <cfRule type="dataBar" priority="3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D5:G5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B20:B28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0000000}">
          <x14:formula1>
            <xm:f>Lists!$A$5:$A$7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50"/>
  <sheetViews>
    <sheetView zoomScale="80" zoomScaleNormal="80" workbookViewId="0">
      <pane ySplit="1" topLeftCell="A2" activePane="bottomLeft" state="frozen"/>
      <selection pane="bottomLeft" activeCell="A5" sqref="A5"/>
    </sheetView>
  </sheetViews>
  <sheetFormatPr defaultRowHeight="13.8"/>
  <cols>
    <col min="1" max="1" width="14" customWidth="1"/>
    <col min="2" max="2" width="18" customWidth="1"/>
    <col min="3" max="3" width="15" customWidth="1"/>
    <col min="4" max="5" width="14" customWidth="1"/>
    <col min="6" max="6" width="18" customWidth="1"/>
    <col min="7" max="7" width="22" customWidth="1"/>
    <col min="8" max="8" width="34" customWidth="1"/>
  </cols>
  <sheetData>
    <row r="1" spans="1:26" ht="25.2">
      <c r="A1" s="26" t="s">
        <v>145</v>
      </c>
      <c r="B1" s="26"/>
      <c r="C1" s="26"/>
      <c r="D1" s="26"/>
      <c r="E1" s="26"/>
      <c r="F1" s="26"/>
      <c r="G1" s="26"/>
      <c r="H1" s="26"/>
    </row>
    <row r="2" spans="1:26" ht="8.8000000000000007" customHeight="1">
      <c r="A2" s="27" t="s">
        <v>146</v>
      </c>
      <c r="B2" s="27"/>
      <c r="C2" s="27"/>
      <c r="D2" s="27"/>
      <c r="E2" s="27"/>
      <c r="F2" s="27"/>
      <c r="G2" s="27"/>
      <c r="H2" s="27"/>
    </row>
    <row r="4" spans="1:26" ht="11.2" customHeight="1">
      <c r="A4" s="2" t="s">
        <v>147</v>
      </c>
      <c r="B4" s="2" t="s">
        <v>148</v>
      </c>
      <c r="C4" s="2" t="s">
        <v>4</v>
      </c>
      <c r="D4" s="2" t="s">
        <v>67</v>
      </c>
      <c r="E4" s="2" t="s">
        <v>149</v>
      </c>
      <c r="F4" s="2" t="s">
        <v>150</v>
      </c>
      <c r="G4" s="2" t="s">
        <v>151</v>
      </c>
      <c r="H4" s="2" t="s">
        <v>71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14">
        <v>46271</v>
      </c>
      <c r="B5" s="3" t="s">
        <v>8</v>
      </c>
      <c r="C5" s="3" t="s">
        <v>16</v>
      </c>
      <c r="D5" s="3" t="s">
        <v>9</v>
      </c>
      <c r="E5" s="24">
        <v>0.45833333333333331</v>
      </c>
      <c r="F5" s="3">
        <v>1</v>
      </c>
      <c r="G5" s="3" t="s">
        <v>192</v>
      </c>
      <c r="H5" s="3" t="s">
        <v>193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14">
        <v>46271</v>
      </c>
      <c r="B6" s="3" t="s">
        <v>14</v>
      </c>
      <c r="C6" s="3" t="s">
        <v>16</v>
      </c>
      <c r="D6" s="3" t="s">
        <v>9</v>
      </c>
      <c r="E6" s="24">
        <v>0.45902777777777776</v>
      </c>
      <c r="F6" s="3">
        <v>1</v>
      </c>
      <c r="G6" s="3" t="s">
        <v>192</v>
      </c>
      <c r="H6" s="3" t="s">
        <v>193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14">
        <v>46271</v>
      </c>
      <c r="B7" s="3" t="s">
        <v>20</v>
      </c>
      <c r="C7" s="3" t="s">
        <v>16</v>
      </c>
      <c r="D7" s="3" t="s">
        <v>9</v>
      </c>
      <c r="E7" s="24">
        <v>0.4597222222222222</v>
      </c>
      <c r="F7" s="3">
        <v>1</v>
      </c>
      <c r="G7" s="3" t="s">
        <v>191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14"/>
      <c r="B8" s="3"/>
      <c r="C8" s="3"/>
      <c r="D8" s="3"/>
      <c r="E8" s="24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14"/>
      <c r="B9" s="3"/>
      <c r="C9" s="3"/>
      <c r="D9" s="3"/>
      <c r="E9" s="24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14"/>
      <c r="B10" s="3"/>
      <c r="C10" s="3"/>
      <c r="D10" s="3"/>
      <c r="E10" s="24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14"/>
      <c r="B11" s="3"/>
      <c r="C11" s="3"/>
      <c r="D11" s="3"/>
      <c r="E11" s="24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14"/>
      <c r="B12" s="3"/>
      <c r="C12" s="3"/>
      <c r="D12" s="3"/>
      <c r="E12" s="24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14"/>
      <c r="B13" s="3"/>
      <c r="C13" s="3"/>
      <c r="D13" s="3"/>
      <c r="E13" s="24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14"/>
      <c r="B14" s="3"/>
      <c r="C14" s="3"/>
      <c r="D14" s="3"/>
      <c r="E14" s="24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14"/>
      <c r="B15" s="3"/>
      <c r="C15" s="3"/>
      <c r="D15" s="3"/>
      <c r="E15" s="24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14"/>
      <c r="B16" s="3"/>
      <c r="C16" s="3"/>
      <c r="D16" s="3"/>
      <c r="E16" s="24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14"/>
      <c r="B17" s="3"/>
      <c r="C17" s="3"/>
      <c r="D17" s="3"/>
      <c r="E17" s="24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14"/>
      <c r="B18" s="3"/>
      <c r="C18" s="3"/>
      <c r="D18" s="3"/>
      <c r="E18" s="24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14"/>
      <c r="B19" s="3"/>
      <c r="C19" s="3"/>
      <c r="D19" s="3"/>
      <c r="E19" s="24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14"/>
      <c r="B20" s="3"/>
      <c r="C20" s="3"/>
      <c r="D20" s="3"/>
      <c r="E20" s="24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14"/>
      <c r="B21" s="3"/>
      <c r="C21" s="3"/>
      <c r="D21" s="3"/>
      <c r="E21" s="24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14"/>
      <c r="B22" s="3"/>
      <c r="C22" s="3"/>
      <c r="D22" s="3"/>
      <c r="E22" s="24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14"/>
      <c r="B23" s="3"/>
      <c r="C23" s="3"/>
      <c r="D23" s="3"/>
      <c r="E23" s="24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14"/>
      <c r="B24" s="3"/>
      <c r="C24" s="3"/>
      <c r="D24" s="3"/>
      <c r="E24" s="24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14"/>
      <c r="B25" s="3"/>
      <c r="C25" s="3"/>
      <c r="D25" s="3"/>
      <c r="E25" s="24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14"/>
      <c r="B26" s="3"/>
      <c r="C26" s="3"/>
      <c r="D26" s="3"/>
      <c r="E26" s="24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14"/>
      <c r="B27" s="3"/>
      <c r="C27" s="3"/>
      <c r="D27" s="3"/>
      <c r="E27" s="24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14"/>
      <c r="B28" s="3"/>
      <c r="C28" s="3"/>
      <c r="D28" s="3"/>
      <c r="E28" s="24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14"/>
      <c r="B29" s="3"/>
      <c r="C29" s="3"/>
      <c r="D29" s="3"/>
      <c r="E29" s="24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14"/>
      <c r="B30" s="3"/>
      <c r="C30" s="3"/>
      <c r="D30" s="3"/>
      <c r="E30" s="24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14"/>
      <c r="B31" s="3"/>
      <c r="C31" s="3"/>
      <c r="D31" s="3"/>
      <c r="E31" s="24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14"/>
      <c r="B32" s="3"/>
      <c r="C32" s="3"/>
      <c r="D32" s="3"/>
      <c r="E32" s="24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14"/>
      <c r="B33" s="3"/>
      <c r="C33" s="3"/>
      <c r="D33" s="3"/>
      <c r="E33" s="24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14"/>
      <c r="B34" s="3"/>
      <c r="C34" s="3"/>
      <c r="D34" s="3"/>
      <c r="E34" s="24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14"/>
      <c r="B35" s="3"/>
      <c r="C35" s="3"/>
      <c r="D35" s="3"/>
      <c r="E35" s="24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14"/>
      <c r="B36" s="3"/>
      <c r="C36" s="3"/>
      <c r="D36" s="3"/>
      <c r="E36" s="24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14"/>
      <c r="B37" s="3"/>
      <c r="C37" s="3"/>
      <c r="D37" s="3"/>
      <c r="E37" s="24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14"/>
      <c r="B38" s="3"/>
      <c r="C38" s="3"/>
      <c r="D38" s="3"/>
      <c r="E38" s="24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14"/>
      <c r="B39" s="3"/>
      <c r="C39" s="3"/>
      <c r="D39" s="3"/>
      <c r="E39" s="24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14"/>
      <c r="B40" s="3"/>
      <c r="C40" s="3"/>
      <c r="D40" s="3"/>
      <c r="E40" s="24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14"/>
      <c r="B41" s="3"/>
      <c r="C41" s="3"/>
      <c r="D41" s="3"/>
      <c r="E41" s="24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14"/>
      <c r="B42" s="3"/>
      <c r="C42" s="3"/>
      <c r="D42" s="3"/>
      <c r="E42" s="24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14"/>
      <c r="B43" s="3"/>
      <c r="C43" s="3"/>
      <c r="D43" s="3"/>
      <c r="E43" s="24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14"/>
      <c r="B44" s="3"/>
      <c r="C44" s="3"/>
      <c r="D44" s="3"/>
      <c r="E44" s="24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14"/>
      <c r="B45" s="3"/>
      <c r="C45" s="3"/>
      <c r="D45" s="3"/>
      <c r="E45" s="2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14"/>
      <c r="B46" s="3"/>
      <c r="C46" s="3"/>
      <c r="D46" s="3"/>
      <c r="E46" s="24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14"/>
      <c r="B47" s="3"/>
      <c r="C47" s="3"/>
      <c r="D47" s="3"/>
      <c r="E47" s="24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14"/>
      <c r="B48" s="3"/>
      <c r="C48" s="3"/>
      <c r="D48" s="3"/>
      <c r="E48" s="24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14"/>
      <c r="B49" s="3"/>
      <c r="C49" s="3"/>
      <c r="D49" s="3"/>
      <c r="E49" s="24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14"/>
      <c r="B50" s="3"/>
      <c r="C50" s="3"/>
      <c r="D50" s="3"/>
      <c r="E50" s="24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14"/>
      <c r="B51" s="3"/>
      <c r="C51" s="3"/>
      <c r="D51" s="3"/>
      <c r="E51" s="24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14"/>
      <c r="B52" s="3"/>
      <c r="C52" s="3"/>
      <c r="D52" s="3"/>
      <c r="E52" s="24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14"/>
      <c r="B53" s="3"/>
      <c r="C53" s="3"/>
      <c r="D53" s="3"/>
      <c r="E53" s="24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14"/>
      <c r="B54" s="3"/>
      <c r="C54" s="3"/>
      <c r="D54" s="3"/>
      <c r="E54" s="24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14"/>
      <c r="B55" s="3"/>
      <c r="C55" s="3"/>
      <c r="D55" s="3"/>
      <c r="E55" s="24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14"/>
      <c r="B56" s="3"/>
      <c r="C56" s="3"/>
      <c r="D56" s="3"/>
      <c r="E56" s="24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14"/>
      <c r="B57" s="3"/>
      <c r="C57" s="3"/>
      <c r="D57" s="3"/>
      <c r="E57" s="24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14"/>
      <c r="B58" s="3"/>
      <c r="C58" s="3"/>
      <c r="D58" s="3"/>
      <c r="E58" s="24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14"/>
      <c r="B59" s="3"/>
      <c r="C59" s="3"/>
      <c r="D59" s="3"/>
      <c r="E59" s="24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14"/>
      <c r="B60" s="3"/>
      <c r="C60" s="3"/>
      <c r="D60" s="3"/>
      <c r="E60" s="24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14"/>
      <c r="B61" s="3"/>
      <c r="C61" s="3"/>
      <c r="D61" s="3"/>
      <c r="E61" s="24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14"/>
      <c r="B62" s="3"/>
      <c r="C62" s="3"/>
      <c r="D62" s="3"/>
      <c r="E62" s="24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14"/>
      <c r="B63" s="3"/>
      <c r="C63" s="3"/>
      <c r="D63" s="3"/>
      <c r="E63" s="24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14"/>
      <c r="B64" s="3"/>
      <c r="C64" s="3"/>
      <c r="D64" s="3"/>
      <c r="E64" s="24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14"/>
      <c r="B65" s="3"/>
      <c r="C65" s="3"/>
      <c r="D65" s="3"/>
      <c r="E65" s="24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14"/>
      <c r="B66" s="3"/>
      <c r="C66" s="3"/>
      <c r="D66" s="3"/>
      <c r="E66" s="24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14"/>
      <c r="B67" s="3"/>
      <c r="C67" s="3"/>
      <c r="D67" s="3"/>
      <c r="E67" s="24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14"/>
      <c r="B68" s="3"/>
      <c r="C68" s="3"/>
      <c r="D68" s="3"/>
      <c r="E68" s="24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14"/>
      <c r="B69" s="3"/>
      <c r="C69" s="3"/>
      <c r="D69" s="3"/>
      <c r="E69" s="24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14"/>
      <c r="B70" s="3"/>
      <c r="C70" s="3"/>
      <c r="D70" s="3"/>
      <c r="E70" s="24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14"/>
      <c r="B71" s="3"/>
      <c r="C71" s="3"/>
      <c r="D71" s="3"/>
      <c r="E71" s="24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14"/>
      <c r="B72" s="3"/>
      <c r="C72" s="3"/>
      <c r="D72" s="3"/>
      <c r="E72" s="24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14"/>
      <c r="B73" s="3"/>
      <c r="C73" s="3"/>
      <c r="D73" s="3"/>
      <c r="E73" s="24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14"/>
      <c r="B74" s="3"/>
      <c r="C74" s="3"/>
      <c r="D74" s="3"/>
      <c r="E74" s="24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14"/>
      <c r="B75" s="3"/>
      <c r="C75" s="3"/>
      <c r="D75" s="3"/>
      <c r="E75" s="24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14"/>
      <c r="B76" s="3"/>
      <c r="C76" s="3"/>
      <c r="D76" s="3"/>
      <c r="E76" s="24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14"/>
      <c r="B77" s="3"/>
      <c r="C77" s="3"/>
      <c r="D77" s="3"/>
      <c r="E77" s="24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14"/>
      <c r="B78" s="3"/>
      <c r="C78" s="3"/>
      <c r="D78" s="3"/>
      <c r="E78" s="24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14"/>
      <c r="B79" s="3"/>
      <c r="C79" s="3"/>
      <c r="D79" s="3"/>
      <c r="E79" s="24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14"/>
      <c r="B80" s="3"/>
      <c r="C80" s="3"/>
      <c r="D80" s="3"/>
      <c r="E80" s="24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14"/>
      <c r="B81" s="3"/>
      <c r="C81" s="3"/>
      <c r="D81" s="3"/>
      <c r="E81" s="24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14"/>
      <c r="B82" s="3"/>
      <c r="C82" s="3"/>
      <c r="D82" s="3"/>
      <c r="E82" s="24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14"/>
      <c r="B83" s="3"/>
      <c r="C83" s="3"/>
      <c r="D83" s="3"/>
      <c r="E83" s="24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14"/>
      <c r="B84" s="3"/>
      <c r="C84" s="3"/>
      <c r="D84" s="3"/>
      <c r="E84" s="24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14"/>
      <c r="B85" s="3"/>
      <c r="C85" s="3"/>
      <c r="D85" s="3"/>
      <c r="E85" s="24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14"/>
      <c r="B86" s="3"/>
      <c r="C86" s="3"/>
      <c r="D86" s="3"/>
      <c r="E86" s="24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14"/>
      <c r="B87" s="3"/>
      <c r="C87" s="3"/>
      <c r="D87" s="3"/>
      <c r="E87" s="24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14"/>
      <c r="B88" s="3"/>
      <c r="C88" s="3"/>
      <c r="D88" s="3"/>
      <c r="E88" s="24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14"/>
      <c r="B89" s="3"/>
      <c r="C89" s="3"/>
      <c r="D89" s="3"/>
      <c r="E89" s="24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14"/>
      <c r="B90" s="3"/>
      <c r="C90" s="3"/>
      <c r="D90" s="3"/>
      <c r="E90" s="24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14"/>
      <c r="B91" s="3"/>
      <c r="C91" s="3"/>
      <c r="D91" s="3"/>
      <c r="E91" s="24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14"/>
      <c r="B92" s="3"/>
      <c r="C92" s="3"/>
      <c r="D92" s="3"/>
      <c r="E92" s="24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14"/>
      <c r="B93" s="3"/>
      <c r="C93" s="3"/>
      <c r="D93" s="3"/>
      <c r="E93" s="24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14"/>
      <c r="B94" s="3"/>
      <c r="C94" s="3"/>
      <c r="D94" s="3"/>
      <c r="E94" s="24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14"/>
      <c r="B95" s="3"/>
      <c r="C95" s="3"/>
      <c r="D95" s="3"/>
      <c r="E95" s="24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14"/>
      <c r="B96" s="3"/>
      <c r="C96" s="3"/>
      <c r="D96" s="3"/>
      <c r="E96" s="24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14"/>
      <c r="B97" s="3"/>
      <c r="C97" s="3"/>
      <c r="D97" s="3"/>
      <c r="E97" s="24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14"/>
      <c r="B98" s="3"/>
      <c r="C98" s="3"/>
      <c r="D98" s="3"/>
      <c r="E98" s="24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14"/>
      <c r="B99" s="3"/>
      <c r="C99" s="3"/>
      <c r="D99" s="3"/>
      <c r="E99" s="24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14"/>
      <c r="B100" s="3"/>
      <c r="C100" s="3"/>
      <c r="D100" s="3"/>
      <c r="E100" s="24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14"/>
      <c r="B101" s="3"/>
      <c r="C101" s="3"/>
      <c r="D101" s="3"/>
      <c r="E101" s="24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14"/>
      <c r="B102" s="3"/>
      <c r="C102" s="3"/>
      <c r="D102" s="3"/>
      <c r="E102" s="24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14"/>
      <c r="B103" s="3"/>
      <c r="C103" s="3"/>
      <c r="D103" s="3"/>
      <c r="E103" s="24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14"/>
      <c r="B104" s="3"/>
      <c r="C104" s="3"/>
      <c r="D104" s="3"/>
      <c r="E104" s="24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</sheetData>
  <mergeCells count="2">
    <mergeCell ref="A1:H1"/>
    <mergeCell ref="A2:H2"/>
  </mergeCells>
  <conditionalFormatting sqref="D5:D104">
    <cfRule type="expression" dxfId="10" priority="1">
      <formula>D5="Present"</formula>
    </cfRule>
    <cfRule type="expression" dxfId="9" priority="2">
      <formula>D5="Late"</formula>
    </cfRule>
    <cfRule type="expression" dxfId="8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400-000003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400-000000000000}">
          <x14:formula1>
            <xm:f>Lists!$A$5:$A$7</xm:f>
          </x14:formula1>
          <xm:sqref>B5:B104</xm:sqref>
        </x14:dataValidation>
        <x14:dataValidation type="list" xr:uid="{00000000-0002-0000-0400-000001000000}">
          <x14:formula1>
            <xm:f>Lists!$C$5:$C$8</xm:f>
          </x14:formula1>
          <xm:sqref>C5:C104</xm:sqref>
        </x14:dataValidation>
        <x14:dataValidation type="list" xr:uid="{00000000-0002-0000-0400-000002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sqref="A1:F1"/>
    </sheetView>
  </sheetViews>
  <sheetFormatPr defaultRowHeight="13.8"/>
  <cols>
    <col min="1" max="6" width="22" customWidth="1"/>
  </cols>
  <sheetData>
    <row r="1" spans="1:6" ht="13.6" customHeight="1">
      <c r="A1" s="26" t="s">
        <v>0</v>
      </c>
      <c r="B1" s="26"/>
      <c r="C1" s="26"/>
      <c r="D1" s="26"/>
      <c r="E1" s="26"/>
      <c r="F1" s="26"/>
    </row>
    <row r="2" spans="1:6" ht="8.8000000000000007" customHeight="1">
      <c r="A2" s="27" t="s">
        <v>1</v>
      </c>
      <c r="B2" s="27"/>
      <c r="C2" s="27"/>
      <c r="D2" s="27"/>
      <c r="E2" s="27"/>
      <c r="F2" s="27"/>
    </row>
    <row r="4" spans="1:6" ht="11.2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</row>
    <row r="5" spans="1:6">
      <c r="A5" s="3" t="s">
        <v>8</v>
      </c>
      <c r="B5" s="3" t="s">
        <v>9</v>
      </c>
      <c r="C5" s="3" t="s">
        <v>10</v>
      </c>
      <c r="D5" s="3" t="s">
        <v>11</v>
      </c>
      <c r="E5" s="3" t="s">
        <v>12</v>
      </c>
      <c r="F5" s="3" t="s">
        <v>13</v>
      </c>
    </row>
    <row r="6" spans="1:6">
      <c r="A6" s="3" t="s">
        <v>14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</row>
    <row r="7" spans="1:6">
      <c r="A7" s="3" t="s">
        <v>20</v>
      </c>
      <c r="B7" s="3" t="s">
        <v>21</v>
      </c>
      <c r="C7" s="3" t="s">
        <v>22</v>
      </c>
      <c r="D7" s="3" t="s">
        <v>23</v>
      </c>
      <c r="E7" s="3" t="s">
        <v>24</v>
      </c>
      <c r="F7" s="3" t="s">
        <v>25</v>
      </c>
    </row>
    <row r="8" spans="1:6">
      <c r="A8" s="3"/>
      <c r="B8" s="3" t="s">
        <v>26</v>
      </c>
      <c r="C8" s="3" t="s">
        <v>27</v>
      </c>
      <c r="D8" s="3" t="s">
        <v>28</v>
      </c>
      <c r="E8" s="3" t="s">
        <v>29</v>
      </c>
      <c r="F8" s="3" t="s">
        <v>30</v>
      </c>
    </row>
    <row r="9" spans="1:6">
      <c r="A9" s="3"/>
      <c r="B9" s="3"/>
      <c r="C9" s="3"/>
      <c r="D9" s="3" t="s">
        <v>31</v>
      </c>
      <c r="E9" s="3"/>
      <c r="F9" s="3" t="s">
        <v>32</v>
      </c>
    </row>
    <row r="10" spans="1:6">
      <c r="A10" s="3"/>
      <c r="B10" s="3"/>
      <c r="C10" s="3"/>
      <c r="D10" s="3" t="s">
        <v>33</v>
      </c>
      <c r="E10" s="3"/>
      <c r="F10" s="3"/>
    </row>
    <row r="11" spans="1:6">
      <c r="A11" s="3"/>
      <c r="B11" s="3"/>
      <c r="C11" s="3"/>
      <c r="D11" s="3" t="s">
        <v>34</v>
      </c>
      <c r="E11" s="3"/>
      <c r="F11" s="3"/>
    </row>
    <row r="12" spans="1:6">
      <c r="A12" s="3"/>
      <c r="B12" s="3"/>
      <c r="C12" s="3"/>
      <c r="D12" s="3" t="s">
        <v>35</v>
      </c>
      <c r="E12" s="3"/>
      <c r="F12" s="3"/>
    </row>
    <row r="13" spans="1:6">
      <c r="A13" s="3"/>
      <c r="B13" s="3"/>
      <c r="C13" s="3"/>
      <c r="D13" s="3" t="s">
        <v>36</v>
      </c>
      <c r="E13" s="3"/>
      <c r="F13" s="3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workbookViewId="0">
      <selection sqref="A1:H1"/>
    </sheetView>
  </sheetViews>
  <sheetFormatPr defaultRowHeight="13.8"/>
  <cols>
    <col min="1" max="1" width="9" customWidth="1"/>
    <col min="2" max="2" width="60" customWidth="1"/>
    <col min="3" max="3" width="22" customWidth="1"/>
  </cols>
  <sheetData>
    <row r="1" spans="1:8" ht="13.6" customHeight="1">
      <c r="A1" s="26" t="s">
        <v>37</v>
      </c>
      <c r="B1" s="26"/>
      <c r="C1" s="26"/>
      <c r="D1" s="26"/>
      <c r="E1" s="26"/>
      <c r="F1" s="26"/>
      <c r="G1" s="26"/>
      <c r="H1" s="26"/>
    </row>
    <row r="2" spans="1:8" ht="8.8000000000000007" customHeight="1">
      <c r="A2" s="27" t="s">
        <v>38</v>
      </c>
      <c r="B2" s="27"/>
      <c r="C2" s="27"/>
      <c r="D2" s="27"/>
      <c r="E2" s="27"/>
      <c r="F2" s="27"/>
      <c r="G2" s="27"/>
      <c r="H2" s="27"/>
    </row>
    <row r="4" spans="1:8" ht="11.2" customHeight="1">
      <c r="A4" s="4" t="s">
        <v>39</v>
      </c>
      <c r="B4" s="5" t="s">
        <v>40</v>
      </c>
      <c r="C4" s="6" t="s">
        <v>41</v>
      </c>
    </row>
    <row r="5" spans="1:8" ht="27.6">
      <c r="A5" s="7" t="s">
        <v>42</v>
      </c>
      <c r="B5" s="3" t="s">
        <v>43</v>
      </c>
      <c r="C5" s="8" t="s">
        <v>2</v>
      </c>
    </row>
    <row r="6" spans="1:8" ht="27.6">
      <c r="A6" s="7" t="s">
        <v>19</v>
      </c>
      <c r="B6" s="3" t="s">
        <v>44</v>
      </c>
      <c r="C6" s="8" t="s">
        <v>45</v>
      </c>
    </row>
    <row r="7" spans="1:8">
      <c r="A7" s="7" t="s">
        <v>46</v>
      </c>
      <c r="B7" s="3" t="s">
        <v>47</v>
      </c>
      <c r="C7" s="8" t="s">
        <v>48</v>
      </c>
    </row>
    <row r="8" spans="1:8" ht="27.6">
      <c r="A8" s="7" t="s">
        <v>30</v>
      </c>
      <c r="B8" s="3" t="s">
        <v>49</v>
      </c>
      <c r="C8" s="8" t="s">
        <v>50</v>
      </c>
    </row>
    <row r="9" spans="1:8" ht="27.6">
      <c r="A9" s="7" t="s">
        <v>51</v>
      </c>
      <c r="B9" s="3" t="s">
        <v>52</v>
      </c>
      <c r="C9" s="8" t="s">
        <v>53</v>
      </c>
    </row>
    <row r="10" spans="1:8" ht="27.6">
      <c r="A10" s="7" t="s">
        <v>54</v>
      </c>
      <c r="B10" s="3" t="s">
        <v>55</v>
      </c>
      <c r="C10" s="8" t="s">
        <v>56</v>
      </c>
    </row>
    <row r="11" spans="1:8" ht="27.6">
      <c r="A11" s="7" t="s">
        <v>57</v>
      </c>
      <c r="B11" s="3" t="s">
        <v>58</v>
      </c>
      <c r="C11" s="8" t="s">
        <v>59</v>
      </c>
    </row>
    <row r="12" spans="1:8">
      <c r="A12" s="9" t="s">
        <v>60</v>
      </c>
      <c r="B12" s="10" t="s">
        <v>61</v>
      </c>
      <c r="C12" s="11" t="s">
        <v>62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"/>
  <sheetViews>
    <sheetView workbookViewId="0">
      <selection sqref="A1:H1"/>
    </sheetView>
  </sheetViews>
  <sheetFormatPr defaultRowHeight="13.8"/>
  <cols>
    <col min="1" max="1" width="12" customWidth="1"/>
    <col min="2" max="2" width="18" customWidth="1"/>
    <col min="3" max="3" width="8" customWidth="1"/>
    <col min="4" max="4" width="12" customWidth="1"/>
    <col min="5" max="6" width="28" customWidth="1"/>
    <col min="7" max="7" width="14" customWidth="1"/>
    <col min="8" max="8" width="34" customWidth="1"/>
  </cols>
  <sheetData>
    <row r="1" spans="1:8" ht="13.6" customHeight="1">
      <c r="A1" s="26" t="s">
        <v>2</v>
      </c>
      <c r="B1" s="26"/>
      <c r="C1" s="26"/>
      <c r="D1" s="26"/>
      <c r="E1" s="26"/>
      <c r="F1" s="26"/>
      <c r="G1" s="26"/>
      <c r="H1" s="26"/>
    </row>
    <row r="2" spans="1:8" ht="8.8000000000000007" customHeight="1">
      <c r="A2" s="27" t="s">
        <v>63</v>
      </c>
      <c r="B2" s="27"/>
      <c r="C2" s="27"/>
      <c r="D2" s="27"/>
      <c r="E2" s="27"/>
      <c r="F2" s="27"/>
      <c r="G2" s="27"/>
      <c r="H2" s="27"/>
    </row>
    <row r="4" spans="1:8" ht="11.2" customHeight="1">
      <c r="A4" s="4" t="s">
        <v>64</v>
      </c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70</v>
      </c>
      <c r="H4" s="6" t="s">
        <v>71</v>
      </c>
    </row>
    <row r="5" spans="1:8">
      <c r="A5" s="7" t="s">
        <v>72</v>
      </c>
      <c r="B5" s="3" t="s">
        <v>8</v>
      </c>
      <c r="C5" s="3">
        <v>11</v>
      </c>
      <c r="D5" s="3" t="s">
        <v>73</v>
      </c>
      <c r="E5" s="3"/>
      <c r="F5" s="3" t="s">
        <v>74</v>
      </c>
      <c r="G5" s="14"/>
      <c r="H5" s="8"/>
    </row>
    <row r="6" spans="1:8">
      <c r="A6" s="7" t="s">
        <v>75</v>
      </c>
      <c r="B6" s="3" t="s">
        <v>14</v>
      </c>
      <c r="C6" s="3">
        <v>14</v>
      </c>
      <c r="D6" s="3" t="s">
        <v>73</v>
      </c>
      <c r="E6" s="3"/>
      <c r="F6" s="3" t="s">
        <v>74</v>
      </c>
      <c r="G6" s="14"/>
      <c r="H6" s="8"/>
    </row>
    <row r="7" spans="1:8">
      <c r="A7" s="9" t="s">
        <v>76</v>
      </c>
      <c r="B7" s="10" t="s">
        <v>20</v>
      </c>
      <c r="C7" s="10">
        <v>16</v>
      </c>
      <c r="D7" s="10" t="s">
        <v>73</v>
      </c>
      <c r="E7" s="10"/>
      <c r="F7" s="10" t="s">
        <v>74</v>
      </c>
      <c r="G7" s="15"/>
      <c r="H7" s="11"/>
    </row>
    <row r="8" spans="1:8">
      <c r="A8" s="3"/>
      <c r="B8" s="3"/>
      <c r="C8" s="3"/>
      <c r="D8" s="3"/>
      <c r="E8" s="3"/>
      <c r="F8" s="3"/>
      <c r="G8" s="14"/>
      <c r="H8" s="3"/>
    </row>
    <row r="9" spans="1:8">
      <c r="A9" s="3"/>
      <c r="B9" s="3"/>
      <c r="C9" s="3"/>
      <c r="D9" s="3"/>
      <c r="E9" s="3"/>
      <c r="F9" s="3"/>
      <c r="G9" s="14"/>
      <c r="H9" s="3"/>
    </row>
    <row r="10" spans="1:8">
      <c r="A10" s="3"/>
      <c r="B10" s="3"/>
      <c r="C10" s="3"/>
      <c r="D10" s="3"/>
      <c r="E10" s="3"/>
      <c r="F10" s="3"/>
      <c r="G10" s="14"/>
      <c r="H10" s="3"/>
    </row>
    <row r="11" spans="1:8">
      <c r="A11" s="3"/>
      <c r="B11" s="3"/>
      <c r="C11" s="3"/>
      <c r="D11" s="3"/>
      <c r="E11" s="3"/>
      <c r="F11" s="3"/>
      <c r="G11" s="14"/>
      <c r="H11" s="3"/>
    </row>
    <row r="12" spans="1:8">
      <c r="A12" s="3"/>
      <c r="B12" s="3"/>
      <c r="C12" s="3"/>
      <c r="D12" s="3"/>
      <c r="E12" s="3"/>
      <c r="F12" s="3"/>
      <c r="G12" s="14"/>
      <c r="H12" s="3"/>
    </row>
    <row r="13" spans="1:8">
      <c r="A13" s="3"/>
      <c r="B13" s="3"/>
      <c r="C13" s="3"/>
      <c r="D13" s="3"/>
      <c r="E13" s="3"/>
      <c r="F13" s="3"/>
      <c r="G13" s="14"/>
      <c r="H13" s="3"/>
    </row>
    <row r="14" spans="1:8">
      <c r="A14" s="3"/>
      <c r="B14" s="3"/>
      <c r="C14" s="3"/>
      <c r="D14" s="3"/>
      <c r="E14" s="3"/>
      <c r="F14" s="3"/>
      <c r="G14" s="14"/>
      <c r="H14" s="3"/>
    </row>
    <row r="15" spans="1:8">
      <c r="A15" s="3"/>
      <c r="B15" s="3"/>
      <c r="C15" s="3"/>
      <c r="D15" s="3"/>
      <c r="E15" s="3"/>
      <c r="F15" s="3"/>
      <c r="G15" s="14"/>
      <c r="H15" s="3"/>
    </row>
    <row r="16" spans="1:8">
      <c r="A16" s="3"/>
      <c r="B16" s="3"/>
      <c r="C16" s="3"/>
      <c r="D16" s="3"/>
      <c r="E16" s="3"/>
      <c r="F16" s="3"/>
      <c r="G16" s="14"/>
      <c r="H16" s="3"/>
    </row>
    <row r="17" spans="1:8">
      <c r="A17" s="3"/>
      <c r="B17" s="3"/>
      <c r="C17" s="3"/>
      <c r="D17" s="3"/>
      <c r="E17" s="3"/>
      <c r="F17" s="3"/>
      <c r="G17" s="14"/>
      <c r="H17" s="3"/>
    </row>
    <row r="18" spans="1:8">
      <c r="A18" s="3"/>
      <c r="B18" s="3"/>
      <c r="C18" s="3"/>
      <c r="D18" s="3"/>
      <c r="E18" s="3"/>
      <c r="F18" s="3"/>
      <c r="G18" s="14"/>
      <c r="H18" s="3"/>
    </row>
    <row r="19" spans="1:8">
      <c r="A19" s="3"/>
      <c r="B19" s="3"/>
      <c r="C19" s="3"/>
      <c r="D19" s="3"/>
      <c r="E19" s="3"/>
      <c r="F19" s="3"/>
      <c r="G19" s="14"/>
      <c r="H19" s="3"/>
    </row>
    <row r="20" spans="1:8">
      <c r="A20" s="3"/>
      <c r="B20" s="3"/>
      <c r="C20" s="3"/>
      <c r="D20" s="3"/>
      <c r="E20" s="3"/>
      <c r="F20" s="3"/>
      <c r="G20" s="14"/>
      <c r="H20" s="3"/>
    </row>
    <row r="21" spans="1:8">
      <c r="A21" s="3"/>
      <c r="B21" s="3"/>
      <c r="C21" s="3"/>
      <c r="D21" s="3"/>
      <c r="E21" s="3"/>
      <c r="F21" s="3"/>
      <c r="G21" s="14"/>
      <c r="H21" s="3"/>
    </row>
    <row r="22" spans="1:8">
      <c r="A22" s="3"/>
      <c r="B22" s="3"/>
      <c r="C22" s="3"/>
      <c r="D22" s="3"/>
      <c r="E22" s="3"/>
      <c r="F22" s="3"/>
      <c r="G22" s="14"/>
      <c r="H22" s="3"/>
    </row>
    <row r="23" spans="1:8">
      <c r="A23" s="3"/>
      <c r="B23" s="3"/>
      <c r="C23" s="3"/>
      <c r="D23" s="3"/>
      <c r="E23" s="3"/>
      <c r="F23" s="3"/>
      <c r="G23" s="14"/>
      <c r="H23" s="3"/>
    </row>
    <row r="24" spans="1:8">
      <c r="A24" s="3"/>
      <c r="B24" s="3"/>
      <c r="C24" s="3"/>
      <c r="D24" s="3"/>
      <c r="E24" s="3"/>
      <c r="F24" s="3"/>
      <c r="G24" s="14"/>
      <c r="H24" s="3"/>
    </row>
    <row r="25" spans="1:8">
      <c r="A25" s="3"/>
      <c r="B25" s="3"/>
      <c r="C25" s="3"/>
      <c r="D25" s="3"/>
      <c r="E25" s="3"/>
      <c r="F25" s="3"/>
      <c r="G25" s="14"/>
      <c r="H25" s="3"/>
    </row>
    <row r="26" spans="1:8">
      <c r="A26" s="3"/>
      <c r="B26" s="3"/>
      <c r="C26" s="3"/>
      <c r="D26" s="3"/>
      <c r="E26" s="3"/>
      <c r="F26" s="3"/>
      <c r="G26" s="14"/>
      <c r="H26" s="3"/>
    </row>
    <row r="27" spans="1:8">
      <c r="A27" s="3"/>
      <c r="B27" s="3"/>
      <c r="C27" s="3"/>
      <c r="D27" s="3"/>
      <c r="E27" s="3"/>
      <c r="F27" s="3"/>
      <c r="G27" s="14"/>
      <c r="H27" s="3"/>
    </row>
    <row r="28" spans="1:8">
      <c r="A28" s="3"/>
      <c r="B28" s="3"/>
      <c r="C28" s="3"/>
      <c r="D28" s="3"/>
      <c r="E28" s="3"/>
      <c r="F28" s="3"/>
      <c r="G28" s="14"/>
      <c r="H28" s="3"/>
    </row>
    <row r="29" spans="1:8">
      <c r="A29" s="3"/>
      <c r="B29" s="3"/>
      <c r="C29" s="3"/>
      <c r="D29" s="3"/>
      <c r="E29" s="3"/>
      <c r="F29" s="3"/>
      <c r="G29" s="14"/>
      <c r="H29" s="3"/>
    </row>
    <row r="30" spans="1:8">
      <c r="A30" s="3"/>
      <c r="B30" s="3"/>
      <c r="C30" s="3"/>
      <c r="D30" s="3"/>
      <c r="E30" s="3"/>
      <c r="F30" s="3"/>
      <c r="G30" s="14"/>
      <c r="H30" s="3"/>
    </row>
    <row r="31" spans="1:8">
      <c r="A31" s="3"/>
      <c r="B31" s="3"/>
      <c r="C31" s="3"/>
      <c r="D31" s="3"/>
      <c r="E31" s="3"/>
      <c r="F31" s="3"/>
      <c r="G31" s="14"/>
      <c r="H31" s="3"/>
    </row>
    <row r="32" spans="1:8">
      <c r="A32" s="3"/>
      <c r="B32" s="3"/>
      <c r="C32" s="3"/>
      <c r="D32" s="3"/>
      <c r="E32" s="3"/>
      <c r="F32" s="3"/>
      <c r="G32" s="14"/>
      <c r="H32" s="3"/>
    </row>
    <row r="33" spans="1:8">
      <c r="A33" s="3"/>
      <c r="B33" s="3"/>
      <c r="C33" s="3"/>
      <c r="D33" s="3"/>
      <c r="E33" s="3"/>
      <c r="F33" s="3"/>
      <c r="G33" s="14"/>
      <c r="H33" s="3"/>
    </row>
    <row r="34" spans="1:8">
      <c r="A34" s="3"/>
      <c r="B34" s="3"/>
      <c r="C34" s="3"/>
      <c r="D34" s="3"/>
      <c r="E34" s="3"/>
      <c r="F34" s="3"/>
      <c r="G34" s="14"/>
      <c r="H34" s="3"/>
    </row>
    <row r="35" spans="1:8">
      <c r="A35" s="3"/>
      <c r="B35" s="3"/>
      <c r="C35" s="3"/>
      <c r="D35" s="3"/>
      <c r="E35" s="3"/>
      <c r="F35" s="3"/>
      <c r="G35" s="14"/>
      <c r="H35" s="3"/>
    </row>
    <row r="36" spans="1:8">
      <c r="A36" s="3"/>
      <c r="B36" s="3"/>
      <c r="C36" s="3"/>
      <c r="D36" s="3"/>
      <c r="E36" s="3"/>
      <c r="F36" s="3"/>
      <c r="G36" s="14"/>
      <c r="H36" s="3"/>
    </row>
    <row r="37" spans="1:8">
      <c r="A37" s="3"/>
      <c r="B37" s="3"/>
      <c r="C37" s="3"/>
      <c r="D37" s="3"/>
      <c r="E37" s="3"/>
      <c r="F37" s="3"/>
      <c r="G37" s="14"/>
      <c r="H37" s="3"/>
    </row>
    <row r="38" spans="1:8">
      <c r="A38" s="3"/>
      <c r="B38" s="3"/>
      <c r="C38" s="3"/>
      <c r="D38" s="3"/>
      <c r="E38" s="3"/>
      <c r="F38" s="3"/>
      <c r="G38" s="14"/>
      <c r="H38" s="3"/>
    </row>
    <row r="39" spans="1:8">
      <c r="A39" s="3"/>
      <c r="B39" s="3"/>
      <c r="C39" s="3"/>
      <c r="D39" s="3"/>
      <c r="E39" s="3"/>
      <c r="F39" s="3"/>
      <c r="G39" s="14"/>
      <c r="H39" s="3"/>
    </row>
    <row r="40" spans="1:8">
      <c r="A40" s="3"/>
      <c r="B40" s="3"/>
      <c r="C40" s="3"/>
      <c r="D40" s="3"/>
      <c r="E40" s="3"/>
      <c r="F40" s="3"/>
      <c r="G40" s="14"/>
      <c r="H40" s="3"/>
    </row>
    <row r="41" spans="1:8">
      <c r="A41" s="3"/>
      <c r="B41" s="3"/>
      <c r="C41" s="3"/>
      <c r="D41" s="3"/>
      <c r="E41" s="3"/>
      <c r="F41" s="3"/>
      <c r="G41" s="14"/>
      <c r="H41" s="3"/>
    </row>
    <row r="42" spans="1:8">
      <c r="A42" s="3"/>
      <c r="B42" s="3"/>
      <c r="C42" s="3"/>
      <c r="D42" s="3"/>
      <c r="E42" s="3"/>
      <c r="F42" s="3"/>
      <c r="G42" s="14"/>
      <c r="H42" s="3"/>
    </row>
    <row r="43" spans="1:8">
      <c r="A43" s="3"/>
      <c r="B43" s="3"/>
      <c r="C43" s="3"/>
      <c r="D43" s="3"/>
      <c r="E43" s="3"/>
      <c r="F43" s="3"/>
      <c r="G43" s="14"/>
      <c r="H43" s="3"/>
    </row>
    <row r="44" spans="1:8">
      <c r="A44" s="3"/>
      <c r="B44" s="3"/>
      <c r="C44" s="3"/>
      <c r="D44" s="3"/>
      <c r="E44" s="3"/>
      <c r="F44" s="3"/>
      <c r="G44" s="14"/>
      <c r="H44" s="3"/>
    </row>
    <row r="45" spans="1:8">
      <c r="A45" s="3"/>
      <c r="B45" s="3"/>
      <c r="C45" s="3"/>
      <c r="D45" s="3"/>
      <c r="E45" s="3"/>
      <c r="F45" s="3"/>
      <c r="G45" s="14"/>
      <c r="H45" s="3"/>
    </row>
    <row r="46" spans="1:8">
      <c r="A46" s="3"/>
      <c r="B46" s="3"/>
      <c r="C46" s="3"/>
      <c r="D46" s="3"/>
      <c r="E46" s="3"/>
      <c r="F46" s="3"/>
      <c r="G46" s="14"/>
      <c r="H46" s="3"/>
    </row>
    <row r="47" spans="1:8">
      <c r="A47" s="3"/>
      <c r="B47" s="3"/>
      <c r="C47" s="3"/>
      <c r="D47" s="3"/>
      <c r="E47" s="3"/>
      <c r="F47" s="3"/>
      <c r="G47" s="14"/>
      <c r="H47" s="3"/>
    </row>
    <row r="48" spans="1:8">
      <c r="A48" s="3"/>
      <c r="B48" s="3"/>
      <c r="C48" s="3"/>
      <c r="D48" s="3"/>
      <c r="E48" s="3"/>
      <c r="F48" s="3"/>
      <c r="G48" s="14"/>
      <c r="H48" s="3"/>
    </row>
    <row r="49" spans="1:8">
      <c r="A49" s="3"/>
      <c r="B49" s="3"/>
      <c r="C49" s="3"/>
      <c r="D49" s="3"/>
      <c r="E49" s="3"/>
      <c r="F49" s="3"/>
      <c r="G49" s="14"/>
      <c r="H49" s="3"/>
    </row>
    <row r="50" spans="1:8">
      <c r="A50" s="3"/>
      <c r="B50" s="3"/>
      <c r="C50" s="3"/>
      <c r="D50" s="3"/>
      <c r="E50" s="3"/>
      <c r="F50" s="3"/>
      <c r="G50" s="14"/>
      <c r="H50" s="3"/>
    </row>
  </sheetData>
  <mergeCells count="2">
    <mergeCell ref="A1:H1"/>
    <mergeCell ref="A2:H2"/>
  </mergeCells>
  <dataValidations count="1">
    <dataValidation type="list" sqref="D5:D50" xr:uid="{00000000-0002-0000-02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50"/>
  <sheetViews>
    <sheetView zoomScale="80" zoomScaleNormal="80" workbookViewId="0">
      <selection activeCell="H8" sqref="H8"/>
    </sheetView>
  </sheetViews>
  <sheetFormatPr defaultRowHeight="13.8"/>
  <cols>
    <col min="1" max="1" width="14" customWidth="1"/>
    <col min="2" max="2" width="18" customWidth="1"/>
    <col min="3" max="3" width="28" customWidth="1"/>
    <col min="4" max="4" width="34" customWidth="1"/>
    <col min="5" max="5" width="12" customWidth="1"/>
    <col min="6" max="7" width="18" customWidth="1"/>
    <col min="8" max="9" width="34" customWidth="1"/>
  </cols>
  <sheetData>
    <row r="1" spans="1:26" ht="13.6" customHeight="1">
      <c r="A1" s="26" t="s">
        <v>160</v>
      </c>
      <c r="B1" s="26"/>
      <c r="C1" s="26"/>
      <c r="D1" s="26"/>
      <c r="E1" s="26"/>
      <c r="F1" s="26"/>
      <c r="G1" s="26"/>
      <c r="H1" s="26"/>
      <c r="I1" s="26"/>
    </row>
    <row r="2" spans="1:26" ht="8.8000000000000007" customHeight="1">
      <c r="A2" s="27" t="s">
        <v>161</v>
      </c>
      <c r="B2" s="27"/>
      <c r="C2" s="27"/>
      <c r="D2" s="27"/>
      <c r="E2" s="27"/>
      <c r="F2" s="27"/>
      <c r="G2" s="27"/>
      <c r="H2" s="27"/>
      <c r="I2" s="27"/>
    </row>
    <row r="4" spans="1:26" ht="11.2" customHeight="1">
      <c r="A4" s="2" t="s">
        <v>147</v>
      </c>
      <c r="B4" s="2" t="s">
        <v>148</v>
      </c>
      <c r="C4" s="2" t="s">
        <v>5</v>
      </c>
      <c r="D4" s="2" t="s">
        <v>162</v>
      </c>
      <c r="E4" s="2" t="s">
        <v>163</v>
      </c>
      <c r="F4" s="2" t="s">
        <v>7</v>
      </c>
      <c r="G4" s="2" t="s">
        <v>164</v>
      </c>
      <c r="H4" s="2" t="s">
        <v>88</v>
      </c>
      <c r="I4" s="2" t="s">
        <v>165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14">
        <v>46271</v>
      </c>
      <c r="B5" s="3" t="s">
        <v>20</v>
      </c>
      <c r="C5" s="3" t="s">
        <v>11</v>
      </c>
      <c r="D5" s="3">
        <v>420</v>
      </c>
      <c r="E5" s="25">
        <v>1</v>
      </c>
      <c r="F5" s="3" t="s">
        <v>32</v>
      </c>
      <c r="G5" s="3" t="s">
        <v>194</v>
      </c>
      <c r="H5" s="3" t="s">
        <v>195</v>
      </c>
      <c r="I5" s="3" t="s">
        <v>196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14">
        <v>46271</v>
      </c>
      <c r="B6" s="3" t="s">
        <v>14</v>
      </c>
      <c r="C6" s="3" t="s">
        <v>11</v>
      </c>
      <c r="D6" s="3">
        <v>447</v>
      </c>
      <c r="E6" s="25">
        <v>0</v>
      </c>
      <c r="F6" s="3" t="s">
        <v>13</v>
      </c>
      <c r="G6" s="3" t="s">
        <v>29</v>
      </c>
      <c r="H6" s="3" t="s">
        <v>197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14">
        <v>46271</v>
      </c>
      <c r="B7" s="3" t="s">
        <v>8</v>
      </c>
      <c r="C7" s="3" t="s">
        <v>11</v>
      </c>
      <c r="D7" s="3">
        <v>546</v>
      </c>
      <c r="E7" s="25">
        <v>0.5</v>
      </c>
      <c r="F7" s="3" t="s">
        <v>25</v>
      </c>
      <c r="G7" s="3" t="s">
        <v>29</v>
      </c>
      <c r="H7" s="3" t="s">
        <v>198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14"/>
      <c r="B8" s="3"/>
      <c r="C8" s="3"/>
      <c r="D8" s="3"/>
      <c r="E8" s="2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14"/>
      <c r="B9" s="3"/>
      <c r="C9" s="3"/>
      <c r="D9" s="3"/>
      <c r="E9" s="2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14"/>
      <c r="B10" s="3"/>
      <c r="C10" s="3"/>
      <c r="D10" s="3"/>
      <c r="E10" s="2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14"/>
      <c r="B11" s="3"/>
      <c r="C11" s="3"/>
      <c r="D11" s="3"/>
      <c r="E11" s="2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14"/>
      <c r="B12" s="3"/>
      <c r="C12" s="3"/>
      <c r="D12" s="3"/>
      <c r="E12" s="2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14"/>
      <c r="B13" s="3"/>
      <c r="C13" s="3"/>
      <c r="D13" s="3"/>
      <c r="E13" s="2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14"/>
      <c r="B14" s="3"/>
      <c r="C14" s="3"/>
      <c r="D14" s="3"/>
      <c r="E14" s="2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14"/>
      <c r="B15" s="3"/>
      <c r="C15" s="3"/>
      <c r="D15" s="3"/>
      <c r="E15" s="2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14"/>
      <c r="B16" s="3"/>
      <c r="C16" s="3"/>
      <c r="D16" s="3"/>
      <c r="E16" s="2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14"/>
      <c r="B17" s="3"/>
      <c r="C17" s="3"/>
      <c r="D17" s="3"/>
      <c r="E17" s="2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14"/>
      <c r="B18" s="3"/>
      <c r="C18" s="3"/>
      <c r="D18" s="3"/>
      <c r="E18" s="2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14"/>
      <c r="B19" s="3"/>
      <c r="C19" s="3"/>
      <c r="D19" s="3"/>
      <c r="E19" s="2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14"/>
      <c r="B20" s="3"/>
      <c r="C20" s="3"/>
      <c r="D20" s="3"/>
      <c r="E20" s="2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14"/>
      <c r="B21" s="3"/>
      <c r="C21" s="3"/>
      <c r="D21" s="3"/>
      <c r="E21" s="2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14"/>
      <c r="B22" s="3"/>
      <c r="C22" s="3"/>
      <c r="D22" s="3"/>
      <c r="E22" s="2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14"/>
      <c r="B23" s="3"/>
      <c r="C23" s="3"/>
      <c r="D23" s="3"/>
      <c r="E23" s="2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14"/>
      <c r="B24" s="3"/>
      <c r="C24" s="3"/>
      <c r="D24" s="3"/>
      <c r="E24" s="2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14"/>
      <c r="B25" s="3"/>
      <c r="C25" s="3"/>
      <c r="D25" s="3"/>
      <c r="E25" s="2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14"/>
      <c r="B26" s="3"/>
      <c r="C26" s="3"/>
      <c r="D26" s="3"/>
      <c r="E26" s="2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14"/>
      <c r="B27" s="3"/>
      <c r="C27" s="3"/>
      <c r="D27" s="3"/>
      <c r="E27" s="2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14"/>
      <c r="B28" s="3"/>
      <c r="C28" s="3"/>
      <c r="D28" s="3"/>
      <c r="E28" s="2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14"/>
      <c r="B29" s="3"/>
      <c r="C29" s="3"/>
      <c r="D29" s="3"/>
      <c r="E29" s="2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14"/>
      <c r="B30" s="3"/>
      <c r="C30" s="3"/>
      <c r="D30" s="3"/>
      <c r="E30" s="2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14"/>
      <c r="B31" s="3"/>
      <c r="C31" s="3"/>
      <c r="D31" s="3"/>
      <c r="E31" s="2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14"/>
      <c r="B32" s="3"/>
      <c r="C32" s="3"/>
      <c r="D32" s="3"/>
      <c r="E32" s="2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14"/>
      <c r="B33" s="3"/>
      <c r="C33" s="3"/>
      <c r="D33" s="3"/>
      <c r="E33" s="2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14"/>
      <c r="B34" s="3"/>
      <c r="C34" s="3"/>
      <c r="D34" s="3"/>
      <c r="E34" s="2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14"/>
      <c r="B35" s="3"/>
      <c r="C35" s="3"/>
      <c r="D35" s="3"/>
      <c r="E35" s="2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14"/>
      <c r="B36" s="3"/>
      <c r="C36" s="3"/>
      <c r="D36" s="3"/>
      <c r="E36" s="2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14"/>
      <c r="B37" s="3"/>
      <c r="C37" s="3"/>
      <c r="D37" s="3"/>
      <c r="E37" s="2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14"/>
      <c r="B38" s="3"/>
      <c r="C38" s="3"/>
      <c r="D38" s="3"/>
      <c r="E38" s="2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14"/>
      <c r="B39" s="3"/>
      <c r="C39" s="3"/>
      <c r="D39" s="3"/>
      <c r="E39" s="2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14"/>
      <c r="B40" s="3"/>
      <c r="C40" s="3"/>
      <c r="D40" s="3"/>
      <c r="E40" s="2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14"/>
      <c r="B41" s="3"/>
      <c r="C41" s="3"/>
      <c r="D41" s="3"/>
      <c r="E41" s="2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14"/>
      <c r="B42" s="3"/>
      <c r="C42" s="3"/>
      <c r="D42" s="3"/>
      <c r="E42" s="2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14"/>
      <c r="B43" s="3"/>
      <c r="C43" s="3"/>
      <c r="D43" s="3"/>
      <c r="E43" s="2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14"/>
      <c r="B44" s="3"/>
      <c r="C44" s="3"/>
      <c r="D44" s="3"/>
      <c r="E44" s="2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14"/>
      <c r="B45" s="3"/>
      <c r="C45" s="3"/>
      <c r="D45" s="3"/>
      <c r="E45" s="2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14"/>
      <c r="B46" s="3"/>
      <c r="C46" s="3"/>
      <c r="D46" s="3"/>
      <c r="E46" s="2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14"/>
      <c r="B47" s="3"/>
      <c r="C47" s="3"/>
      <c r="D47" s="3"/>
      <c r="E47" s="2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14"/>
      <c r="B48" s="3"/>
      <c r="C48" s="3"/>
      <c r="D48" s="3"/>
      <c r="E48" s="2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14"/>
      <c r="B49" s="3"/>
      <c r="C49" s="3"/>
      <c r="D49" s="3"/>
      <c r="E49" s="2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14"/>
      <c r="B50" s="3"/>
      <c r="C50" s="3"/>
      <c r="D50" s="3"/>
      <c r="E50" s="2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14"/>
      <c r="B51" s="3"/>
      <c r="C51" s="3"/>
      <c r="D51" s="3"/>
      <c r="E51" s="2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14"/>
      <c r="B52" s="3"/>
      <c r="C52" s="3"/>
      <c r="D52" s="3"/>
      <c r="E52" s="2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14"/>
      <c r="B53" s="3"/>
      <c r="C53" s="3"/>
      <c r="D53" s="3"/>
      <c r="E53" s="2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14"/>
      <c r="B54" s="3"/>
      <c r="C54" s="3"/>
      <c r="D54" s="3"/>
      <c r="E54" s="2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14"/>
      <c r="B55" s="3"/>
      <c r="C55" s="3"/>
      <c r="D55" s="3"/>
      <c r="E55" s="2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14"/>
      <c r="B56" s="3"/>
      <c r="C56" s="3"/>
      <c r="D56" s="3"/>
      <c r="E56" s="2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14"/>
      <c r="B57" s="3"/>
      <c r="C57" s="3"/>
      <c r="D57" s="3"/>
      <c r="E57" s="2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14"/>
      <c r="B58" s="3"/>
      <c r="C58" s="3"/>
      <c r="D58" s="3"/>
      <c r="E58" s="2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14"/>
      <c r="B59" s="3"/>
      <c r="C59" s="3"/>
      <c r="D59" s="3"/>
      <c r="E59" s="2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14"/>
      <c r="B60" s="3"/>
      <c r="C60" s="3"/>
      <c r="D60" s="3"/>
      <c r="E60" s="2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14"/>
      <c r="B61" s="3"/>
      <c r="C61" s="3"/>
      <c r="D61" s="3"/>
      <c r="E61" s="2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14"/>
      <c r="B62" s="3"/>
      <c r="C62" s="3"/>
      <c r="D62" s="3"/>
      <c r="E62" s="2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14"/>
      <c r="B63" s="3"/>
      <c r="C63" s="3"/>
      <c r="D63" s="3"/>
      <c r="E63" s="2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14"/>
      <c r="B64" s="3"/>
      <c r="C64" s="3"/>
      <c r="D64" s="3"/>
      <c r="E64" s="2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14"/>
      <c r="B65" s="3"/>
      <c r="C65" s="3"/>
      <c r="D65" s="3"/>
      <c r="E65" s="2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14"/>
      <c r="B66" s="3"/>
      <c r="C66" s="3"/>
      <c r="D66" s="3"/>
      <c r="E66" s="2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14"/>
      <c r="B67" s="3"/>
      <c r="C67" s="3"/>
      <c r="D67" s="3"/>
      <c r="E67" s="2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14"/>
      <c r="B68" s="3"/>
      <c r="C68" s="3"/>
      <c r="D68" s="3"/>
      <c r="E68" s="2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14"/>
      <c r="B69" s="3"/>
      <c r="C69" s="3"/>
      <c r="D69" s="3"/>
      <c r="E69" s="2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14"/>
      <c r="B70" s="3"/>
      <c r="C70" s="3"/>
      <c r="D70" s="3"/>
      <c r="E70" s="2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14"/>
      <c r="B71" s="3"/>
      <c r="C71" s="3"/>
      <c r="D71" s="3"/>
      <c r="E71" s="2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14"/>
      <c r="B72" s="3"/>
      <c r="C72" s="3"/>
      <c r="D72" s="3"/>
      <c r="E72" s="2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14"/>
      <c r="B73" s="3"/>
      <c r="C73" s="3"/>
      <c r="D73" s="3"/>
      <c r="E73" s="2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14"/>
      <c r="B74" s="3"/>
      <c r="C74" s="3"/>
      <c r="D74" s="3"/>
      <c r="E74" s="2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14"/>
      <c r="B75" s="3"/>
      <c r="C75" s="3"/>
      <c r="D75" s="3"/>
      <c r="E75" s="2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14"/>
      <c r="B76" s="3"/>
      <c r="C76" s="3"/>
      <c r="D76" s="3"/>
      <c r="E76" s="2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14"/>
      <c r="B77" s="3"/>
      <c r="C77" s="3"/>
      <c r="D77" s="3"/>
      <c r="E77" s="2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14"/>
      <c r="B78" s="3"/>
      <c r="C78" s="3"/>
      <c r="D78" s="3"/>
      <c r="E78" s="2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14"/>
      <c r="B79" s="3"/>
      <c r="C79" s="3"/>
      <c r="D79" s="3"/>
      <c r="E79" s="2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14"/>
      <c r="B80" s="3"/>
      <c r="C80" s="3"/>
      <c r="D80" s="3"/>
      <c r="E80" s="2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14"/>
      <c r="B81" s="3"/>
      <c r="C81" s="3"/>
      <c r="D81" s="3"/>
      <c r="E81" s="2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14"/>
      <c r="B82" s="3"/>
      <c r="C82" s="3"/>
      <c r="D82" s="3"/>
      <c r="E82" s="2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14"/>
      <c r="B83" s="3"/>
      <c r="C83" s="3"/>
      <c r="D83" s="3"/>
      <c r="E83" s="2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14"/>
      <c r="B84" s="3"/>
      <c r="C84" s="3"/>
      <c r="D84" s="3"/>
      <c r="E84" s="2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14"/>
      <c r="B85" s="3"/>
      <c r="C85" s="3"/>
      <c r="D85" s="3"/>
      <c r="E85" s="2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14"/>
      <c r="B86" s="3"/>
      <c r="C86" s="3"/>
      <c r="D86" s="3"/>
      <c r="E86" s="2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14"/>
      <c r="B87" s="3"/>
      <c r="C87" s="3"/>
      <c r="D87" s="3"/>
      <c r="E87" s="2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14"/>
      <c r="B88" s="3"/>
      <c r="C88" s="3"/>
      <c r="D88" s="3"/>
      <c r="E88" s="2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14"/>
      <c r="B89" s="3"/>
      <c r="C89" s="3"/>
      <c r="D89" s="3"/>
      <c r="E89" s="2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14"/>
      <c r="B90" s="3"/>
      <c r="C90" s="3"/>
      <c r="D90" s="3"/>
      <c r="E90" s="2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14"/>
      <c r="B91" s="3"/>
      <c r="C91" s="3"/>
      <c r="D91" s="3"/>
      <c r="E91" s="2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14"/>
      <c r="B92" s="3"/>
      <c r="C92" s="3"/>
      <c r="D92" s="3"/>
      <c r="E92" s="2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14"/>
      <c r="B93" s="3"/>
      <c r="C93" s="3"/>
      <c r="D93" s="3"/>
      <c r="E93" s="2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14"/>
      <c r="B94" s="3"/>
      <c r="C94" s="3"/>
      <c r="D94" s="3"/>
      <c r="E94" s="2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14"/>
      <c r="B95" s="3"/>
      <c r="C95" s="3"/>
      <c r="D95" s="3"/>
      <c r="E95" s="2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14"/>
      <c r="B96" s="3"/>
      <c r="C96" s="3"/>
      <c r="D96" s="3"/>
      <c r="E96" s="2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14"/>
      <c r="B97" s="3"/>
      <c r="C97" s="3"/>
      <c r="D97" s="3"/>
      <c r="E97" s="2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14"/>
      <c r="B98" s="3"/>
      <c r="C98" s="3"/>
      <c r="D98" s="3"/>
      <c r="E98" s="2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14"/>
      <c r="B99" s="3"/>
      <c r="C99" s="3"/>
      <c r="D99" s="3"/>
      <c r="E99" s="2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14"/>
      <c r="B100" s="3"/>
      <c r="C100" s="3"/>
      <c r="D100" s="3"/>
      <c r="E100" s="25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14"/>
      <c r="B101" s="3"/>
      <c r="C101" s="3"/>
      <c r="D101" s="3"/>
      <c r="E101" s="25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14"/>
      <c r="B102" s="3"/>
      <c r="C102" s="3"/>
      <c r="D102" s="3"/>
      <c r="E102" s="25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14"/>
      <c r="B103" s="3"/>
      <c r="C103" s="3"/>
      <c r="D103" s="3"/>
      <c r="E103" s="25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14"/>
      <c r="B104" s="3"/>
      <c r="C104" s="3"/>
      <c r="D104" s="3"/>
      <c r="E104" s="25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14"/>
      <c r="B105" s="3"/>
      <c r="C105" s="3"/>
      <c r="D105" s="3"/>
      <c r="E105" s="25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14"/>
      <c r="B106" s="3"/>
      <c r="C106" s="3"/>
      <c r="D106" s="3"/>
      <c r="E106" s="25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14"/>
      <c r="B107" s="3"/>
      <c r="C107" s="3"/>
      <c r="D107" s="3"/>
      <c r="E107" s="25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14"/>
      <c r="B108" s="3"/>
      <c r="C108" s="3"/>
      <c r="D108" s="3"/>
      <c r="E108" s="25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14"/>
      <c r="B109" s="3"/>
      <c r="C109" s="3"/>
      <c r="D109" s="3"/>
      <c r="E109" s="25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14"/>
      <c r="B110" s="3"/>
      <c r="C110" s="3"/>
      <c r="D110" s="3"/>
      <c r="E110" s="2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14"/>
      <c r="B111" s="3"/>
      <c r="C111" s="3"/>
      <c r="D111" s="3"/>
      <c r="E111" s="2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14"/>
      <c r="B112" s="3"/>
      <c r="C112" s="3"/>
      <c r="D112" s="3"/>
      <c r="E112" s="2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14"/>
      <c r="B113" s="3"/>
      <c r="C113" s="3"/>
      <c r="D113" s="3"/>
      <c r="E113" s="2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14"/>
      <c r="B114" s="3"/>
      <c r="C114" s="3"/>
      <c r="D114" s="3"/>
      <c r="E114" s="25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14"/>
      <c r="B115" s="3"/>
      <c r="C115" s="3"/>
      <c r="D115" s="3"/>
      <c r="E115" s="25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14"/>
      <c r="B116" s="3"/>
      <c r="C116" s="3"/>
      <c r="D116" s="3"/>
      <c r="E116" s="25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14"/>
      <c r="B117" s="3"/>
      <c r="C117" s="3"/>
      <c r="D117" s="3"/>
      <c r="E117" s="25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14"/>
      <c r="B118" s="3"/>
      <c r="C118" s="3"/>
      <c r="D118" s="3"/>
      <c r="E118" s="25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14"/>
      <c r="B119" s="3"/>
      <c r="C119" s="3"/>
      <c r="D119" s="3"/>
      <c r="E119" s="25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14"/>
      <c r="B120" s="3"/>
      <c r="C120" s="3"/>
      <c r="D120" s="3"/>
      <c r="E120" s="25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14"/>
      <c r="B121" s="3"/>
      <c r="C121" s="3"/>
      <c r="D121" s="3"/>
      <c r="E121" s="25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14"/>
      <c r="B122" s="3"/>
      <c r="C122" s="3"/>
      <c r="D122" s="3"/>
      <c r="E122" s="25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14"/>
      <c r="B123" s="3"/>
      <c r="C123" s="3"/>
      <c r="D123" s="3"/>
      <c r="E123" s="25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14"/>
      <c r="B124" s="3"/>
      <c r="C124" s="3"/>
      <c r="D124" s="3"/>
      <c r="E124" s="25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14"/>
      <c r="B125" s="3"/>
      <c r="C125" s="3"/>
      <c r="D125" s="3"/>
      <c r="E125" s="25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14"/>
      <c r="B126" s="3"/>
      <c r="C126" s="3"/>
      <c r="D126" s="3"/>
      <c r="E126" s="25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14"/>
      <c r="B127" s="3"/>
      <c r="C127" s="3"/>
      <c r="D127" s="3"/>
      <c r="E127" s="25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14"/>
      <c r="B128" s="3"/>
      <c r="C128" s="3"/>
      <c r="D128" s="3"/>
      <c r="E128" s="25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14"/>
      <c r="B129" s="3"/>
      <c r="C129" s="3"/>
      <c r="D129" s="3"/>
      <c r="E129" s="25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14"/>
      <c r="B130" s="3"/>
      <c r="C130" s="3"/>
      <c r="D130" s="3"/>
      <c r="E130" s="25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14"/>
      <c r="B131" s="3"/>
      <c r="C131" s="3"/>
      <c r="D131" s="3"/>
      <c r="E131" s="25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14"/>
      <c r="B132" s="3"/>
      <c r="C132" s="3"/>
      <c r="D132" s="3"/>
      <c r="E132" s="25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14"/>
      <c r="B133" s="3"/>
      <c r="C133" s="3"/>
      <c r="D133" s="3"/>
      <c r="E133" s="25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14"/>
      <c r="B134" s="3"/>
      <c r="C134" s="3"/>
      <c r="D134" s="3"/>
      <c r="E134" s="25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14"/>
      <c r="B135" s="3"/>
      <c r="C135" s="3"/>
      <c r="D135" s="3"/>
      <c r="E135" s="25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14"/>
      <c r="B136" s="3"/>
      <c r="C136" s="3"/>
      <c r="D136" s="3"/>
      <c r="E136" s="25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14"/>
      <c r="B137" s="3"/>
      <c r="C137" s="3"/>
      <c r="D137" s="3"/>
      <c r="E137" s="25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14"/>
      <c r="B138" s="3"/>
      <c r="C138" s="3"/>
      <c r="D138" s="3"/>
      <c r="E138" s="25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14"/>
      <c r="B139" s="3"/>
      <c r="C139" s="3"/>
      <c r="D139" s="3"/>
      <c r="E139" s="25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14"/>
      <c r="B140" s="3"/>
      <c r="C140" s="3"/>
      <c r="D140" s="3"/>
      <c r="E140" s="25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14"/>
      <c r="B141" s="3"/>
      <c r="C141" s="3"/>
      <c r="D141" s="3"/>
      <c r="E141" s="25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14"/>
      <c r="B142" s="3"/>
      <c r="C142" s="3"/>
      <c r="D142" s="3"/>
      <c r="E142" s="25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14"/>
      <c r="B143" s="3"/>
      <c r="C143" s="3"/>
      <c r="D143" s="3"/>
      <c r="E143" s="25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14"/>
      <c r="B144" s="3"/>
      <c r="C144" s="3"/>
      <c r="D144" s="3"/>
      <c r="E144" s="25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14"/>
      <c r="B145" s="3"/>
      <c r="C145" s="3"/>
      <c r="D145" s="3"/>
      <c r="E145" s="25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14"/>
      <c r="B146" s="3"/>
      <c r="C146" s="3"/>
      <c r="D146" s="3"/>
      <c r="E146" s="25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14"/>
      <c r="B147" s="3"/>
      <c r="C147" s="3"/>
      <c r="D147" s="3"/>
      <c r="E147" s="25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14"/>
      <c r="B148" s="3"/>
      <c r="C148" s="3"/>
      <c r="D148" s="3"/>
      <c r="E148" s="25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14"/>
      <c r="B149" s="3"/>
      <c r="C149" s="3"/>
      <c r="D149" s="3"/>
      <c r="E149" s="25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14"/>
      <c r="B150" s="3"/>
      <c r="C150" s="3"/>
      <c r="D150" s="3"/>
      <c r="E150" s="25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14"/>
      <c r="B151" s="3"/>
      <c r="C151" s="3"/>
      <c r="D151" s="3"/>
      <c r="E151" s="25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14"/>
      <c r="B152" s="3"/>
      <c r="C152" s="3"/>
      <c r="D152" s="3"/>
      <c r="E152" s="25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14"/>
      <c r="B153" s="3"/>
      <c r="C153" s="3"/>
      <c r="D153" s="3"/>
      <c r="E153" s="25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14"/>
      <c r="B154" s="3"/>
      <c r="C154" s="3"/>
      <c r="D154" s="3"/>
      <c r="E154" s="25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14"/>
      <c r="B155" s="3"/>
      <c r="C155" s="3"/>
      <c r="D155" s="3"/>
      <c r="E155" s="25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14"/>
      <c r="B156" s="3"/>
      <c r="C156" s="3"/>
      <c r="D156" s="3"/>
      <c r="E156" s="25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14"/>
      <c r="B157" s="3"/>
      <c r="C157" s="3"/>
      <c r="D157" s="3"/>
      <c r="E157" s="25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14"/>
      <c r="B158" s="3"/>
      <c r="C158" s="3"/>
      <c r="D158" s="3"/>
      <c r="E158" s="25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14"/>
      <c r="B159" s="3"/>
      <c r="C159" s="3"/>
      <c r="D159" s="3"/>
      <c r="E159" s="25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14"/>
      <c r="B160" s="3"/>
      <c r="C160" s="3"/>
      <c r="D160" s="3"/>
      <c r="E160" s="25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14"/>
      <c r="B161" s="3"/>
      <c r="C161" s="3"/>
      <c r="D161" s="3"/>
      <c r="E161" s="25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14"/>
      <c r="B162" s="3"/>
      <c r="C162" s="3"/>
      <c r="D162" s="3"/>
      <c r="E162" s="25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14"/>
      <c r="B163" s="3"/>
      <c r="C163" s="3"/>
      <c r="D163" s="3"/>
      <c r="E163" s="25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14"/>
      <c r="B164" s="3"/>
      <c r="C164" s="3"/>
      <c r="D164" s="3"/>
      <c r="E164" s="25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14"/>
      <c r="B165" s="3"/>
      <c r="C165" s="3"/>
      <c r="D165" s="3"/>
      <c r="E165" s="25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14"/>
      <c r="B166" s="3"/>
      <c r="C166" s="3"/>
      <c r="D166" s="3"/>
      <c r="E166" s="25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14"/>
      <c r="B167" s="3"/>
      <c r="C167" s="3"/>
      <c r="D167" s="3"/>
      <c r="E167" s="25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14"/>
      <c r="B168" s="3"/>
      <c r="C168" s="3"/>
      <c r="D168" s="3"/>
      <c r="E168" s="25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14"/>
      <c r="B169" s="3"/>
      <c r="C169" s="3"/>
      <c r="D169" s="3"/>
      <c r="E169" s="25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14"/>
      <c r="B170" s="3"/>
      <c r="C170" s="3"/>
      <c r="D170" s="3"/>
      <c r="E170" s="25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14"/>
      <c r="B171" s="3"/>
      <c r="C171" s="3"/>
      <c r="D171" s="3"/>
      <c r="E171" s="25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14"/>
      <c r="B172" s="3"/>
      <c r="C172" s="3"/>
      <c r="D172" s="3"/>
      <c r="E172" s="25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14"/>
      <c r="B173" s="3"/>
      <c r="C173" s="3"/>
      <c r="D173" s="3"/>
      <c r="E173" s="25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14"/>
      <c r="B174" s="3"/>
      <c r="C174" s="3"/>
      <c r="D174" s="3"/>
      <c r="E174" s="25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14"/>
      <c r="B175" s="3"/>
      <c r="C175" s="3"/>
      <c r="D175" s="3"/>
      <c r="E175" s="25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14"/>
      <c r="B176" s="3"/>
      <c r="C176" s="3"/>
      <c r="D176" s="3"/>
      <c r="E176" s="25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14"/>
      <c r="B177" s="3"/>
      <c r="C177" s="3"/>
      <c r="D177" s="3"/>
      <c r="E177" s="25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14"/>
      <c r="B178" s="3"/>
      <c r="C178" s="3"/>
      <c r="D178" s="3"/>
      <c r="E178" s="25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14"/>
      <c r="B179" s="3"/>
      <c r="C179" s="3"/>
      <c r="D179" s="3"/>
      <c r="E179" s="25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14"/>
      <c r="B180" s="3"/>
      <c r="C180" s="3"/>
      <c r="D180" s="3"/>
      <c r="E180" s="25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14"/>
      <c r="B181" s="3"/>
      <c r="C181" s="3"/>
      <c r="D181" s="3"/>
      <c r="E181" s="25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14"/>
      <c r="B182" s="3"/>
      <c r="C182" s="3"/>
      <c r="D182" s="3"/>
      <c r="E182" s="25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14"/>
      <c r="B183" s="3"/>
      <c r="C183" s="3"/>
      <c r="D183" s="3"/>
      <c r="E183" s="25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14"/>
      <c r="B184" s="3"/>
      <c r="C184" s="3"/>
      <c r="D184" s="3"/>
      <c r="E184" s="25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14"/>
      <c r="B185" s="3"/>
      <c r="C185" s="3"/>
      <c r="D185" s="3"/>
      <c r="E185" s="25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14"/>
      <c r="B186" s="3"/>
      <c r="C186" s="3"/>
      <c r="D186" s="3"/>
      <c r="E186" s="25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14"/>
      <c r="B187" s="3"/>
      <c r="C187" s="3"/>
      <c r="D187" s="3"/>
      <c r="E187" s="25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14"/>
      <c r="B188" s="3"/>
      <c r="C188" s="3"/>
      <c r="D188" s="3"/>
      <c r="E188" s="25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14"/>
      <c r="B189" s="3"/>
      <c r="C189" s="3"/>
      <c r="D189" s="3"/>
      <c r="E189" s="25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14"/>
      <c r="B190" s="3"/>
      <c r="C190" s="3"/>
      <c r="D190" s="3"/>
      <c r="E190" s="25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14"/>
      <c r="B191" s="3"/>
      <c r="C191" s="3"/>
      <c r="D191" s="3"/>
      <c r="E191" s="25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14"/>
      <c r="B192" s="3"/>
      <c r="C192" s="3"/>
      <c r="D192" s="3"/>
      <c r="E192" s="25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14"/>
      <c r="B193" s="3"/>
      <c r="C193" s="3"/>
      <c r="D193" s="3"/>
      <c r="E193" s="25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14"/>
      <c r="B194" s="3"/>
      <c r="C194" s="3"/>
      <c r="D194" s="3"/>
      <c r="E194" s="25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14"/>
      <c r="B195" s="3"/>
      <c r="C195" s="3"/>
      <c r="D195" s="3"/>
      <c r="E195" s="25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14"/>
      <c r="B196" s="3"/>
      <c r="C196" s="3"/>
      <c r="D196" s="3"/>
      <c r="E196" s="25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14"/>
      <c r="B197" s="3"/>
      <c r="C197" s="3"/>
      <c r="D197" s="3"/>
      <c r="E197" s="25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14"/>
      <c r="B198" s="3"/>
      <c r="C198" s="3"/>
      <c r="D198" s="3"/>
      <c r="E198" s="25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14"/>
      <c r="B199" s="3"/>
      <c r="C199" s="3"/>
      <c r="D199" s="3"/>
      <c r="E199" s="25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14"/>
      <c r="B200" s="3"/>
      <c r="C200" s="3"/>
      <c r="D200" s="3"/>
      <c r="E200" s="25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14"/>
      <c r="B201" s="3"/>
      <c r="C201" s="3"/>
      <c r="D201" s="3"/>
      <c r="E201" s="25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14"/>
      <c r="B202" s="3"/>
      <c r="C202" s="3"/>
      <c r="D202" s="3"/>
      <c r="E202" s="25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14"/>
      <c r="B203" s="3"/>
      <c r="C203" s="3"/>
      <c r="D203" s="3"/>
      <c r="E203" s="25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14"/>
      <c r="B204" s="3"/>
      <c r="C204" s="3"/>
      <c r="D204" s="3"/>
      <c r="E204" s="25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4" priority="2">
      <formula>G5="Strong"</formula>
    </cfRule>
    <cfRule type="expression" dxfId="3" priority="3">
      <formula>G5="Needs Revision"</formula>
    </cfRule>
  </conditionalFormatting>
  <dataValidations count="1">
    <dataValidation type="list" sqref="G5:G204" xr:uid="{00000000-0002-0000-0600-000003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Lists!$A$5:$A$7</xm:f>
          </x14:formula1>
          <xm:sqref>B5:B204</xm:sqref>
        </x14:dataValidation>
        <x14:dataValidation type="list" xr:uid="{00000000-0002-0000-0600-000001000000}">
          <x14:formula1>
            <xm:f>Lists!$D$5:$D$13</xm:f>
          </x14:formula1>
          <xm:sqref>C5:C204</xm:sqref>
        </x14:dataValidation>
        <x14:dataValidation type="list" xr:uid="{00000000-0002-0000-0600-000002000000}">
          <x14:formula1>
            <xm:f>Lists!$F$5:$F$9</xm:f>
          </x14:formula1>
          <xm:sqref>F5:F204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6"/>
  <sheetViews>
    <sheetView zoomScale="80" zoomScaleNormal="80" workbookViewId="0">
      <selection activeCell="F24" sqref="F24"/>
    </sheetView>
  </sheetViews>
  <sheetFormatPr defaultRowHeight="13.8"/>
  <cols>
    <col min="1" max="1" width="12" customWidth="1"/>
    <col min="2" max="3" width="10" customWidth="1"/>
    <col min="4" max="4" width="9" customWidth="1"/>
    <col min="5" max="5" width="28" customWidth="1"/>
    <col min="6" max="6" width="36" customWidth="1"/>
    <col min="7" max="8" width="24" customWidth="1"/>
    <col min="9" max="10" width="28" customWidth="1"/>
  </cols>
  <sheetData>
    <row r="1" spans="1:10" ht="13.6" customHeight="1">
      <c r="A1" s="26" t="s">
        <v>77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8.8000000000000007" customHeight="1">
      <c r="A2" s="27" t="s">
        <v>78</v>
      </c>
      <c r="B2" s="27"/>
      <c r="C2" s="27"/>
      <c r="D2" s="27"/>
      <c r="E2" s="27"/>
      <c r="F2" s="27"/>
      <c r="G2" s="27"/>
      <c r="H2" s="27"/>
      <c r="I2" s="27"/>
      <c r="J2" s="27"/>
    </row>
    <row r="4" spans="1:10" ht="11.2" customHeight="1">
      <c r="A4" s="4" t="s">
        <v>79</v>
      </c>
      <c r="B4" s="5" t="s">
        <v>80</v>
      </c>
      <c r="C4" s="5" t="s">
        <v>81</v>
      </c>
      <c r="D4" s="5" t="s">
        <v>82</v>
      </c>
      <c r="E4" s="5" t="s">
        <v>83</v>
      </c>
      <c r="F4" s="5" t="s">
        <v>84</v>
      </c>
      <c r="G4" s="5" t="s">
        <v>85</v>
      </c>
      <c r="H4" s="5" t="s">
        <v>86</v>
      </c>
      <c r="I4" s="5" t="s">
        <v>87</v>
      </c>
      <c r="J4" s="6" t="s">
        <v>88</v>
      </c>
    </row>
    <row r="5" spans="1:10" ht="27.6">
      <c r="A5" s="7" t="s">
        <v>10</v>
      </c>
      <c r="B5" s="3" t="s">
        <v>89</v>
      </c>
      <c r="C5" s="3" t="s">
        <v>90</v>
      </c>
      <c r="D5" s="3">
        <v>10</v>
      </c>
      <c r="E5" s="3" t="s">
        <v>91</v>
      </c>
      <c r="F5" s="3" t="s">
        <v>92</v>
      </c>
      <c r="G5" s="3" t="s">
        <v>93</v>
      </c>
      <c r="H5" s="3" t="s">
        <v>94</v>
      </c>
      <c r="I5" s="3" t="s">
        <v>95</v>
      </c>
      <c r="J5" s="8"/>
    </row>
    <row r="6" spans="1:10" ht="27.6">
      <c r="A6" s="7" t="s">
        <v>10</v>
      </c>
      <c r="B6" s="3" t="s">
        <v>90</v>
      </c>
      <c r="C6" s="3" t="s">
        <v>96</v>
      </c>
      <c r="D6" s="3">
        <v>30</v>
      </c>
      <c r="E6" s="3" t="s">
        <v>11</v>
      </c>
      <c r="F6" s="3" t="s">
        <v>97</v>
      </c>
      <c r="G6" s="3" t="s">
        <v>98</v>
      </c>
      <c r="H6" s="3" t="s">
        <v>99</v>
      </c>
      <c r="I6" s="3" t="s">
        <v>100</v>
      </c>
      <c r="J6" s="8"/>
    </row>
    <row r="7" spans="1:10">
      <c r="A7" s="7" t="s">
        <v>10</v>
      </c>
      <c r="B7" s="3" t="s">
        <v>96</v>
      </c>
      <c r="C7" s="3" t="s">
        <v>101</v>
      </c>
      <c r="D7" s="3">
        <v>25</v>
      </c>
      <c r="E7" s="3" t="s">
        <v>102</v>
      </c>
      <c r="F7" s="3" t="s">
        <v>103</v>
      </c>
      <c r="G7" s="3" t="s">
        <v>104</v>
      </c>
      <c r="H7" s="3" t="s">
        <v>105</v>
      </c>
      <c r="I7" s="3" t="s">
        <v>106</v>
      </c>
      <c r="J7" s="8"/>
    </row>
    <row r="8" spans="1:10" ht="27.6">
      <c r="A8" s="7" t="s">
        <v>10</v>
      </c>
      <c r="B8" s="3" t="s">
        <v>101</v>
      </c>
      <c r="C8" s="3" t="s">
        <v>107</v>
      </c>
      <c r="D8" s="3">
        <v>25</v>
      </c>
      <c r="E8" s="3" t="s">
        <v>108</v>
      </c>
      <c r="F8" s="3" t="s">
        <v>109</v>
      </c>
      <c r="G8" s="3" t="s">
        <v>110</v>
      </c>
      <c r="H8" s="3" t="s">
        <v>111</v>
      </c>
      <c r="I8" s="3" t="s">
        <v>112</v>
      </c>
      <c r="J8" s="8"/>
    </row>
    <row r="9" spans="1:10" ht="27.6">
      <c r="A9" s="7" t="s">
        <v>10</v>
      </c>
      <c r="B9" s="3" t="s">
        <v>107</v>
      </c>
      <c r="C9" s="3" t="s">
        <v>113</v>
      </c>
      <c r="D9" s="3">
        <v>20</v>
      </c>
      <c r="E9" s="3" t="s">
        <v>114</v>
      </c>
      <c r="F9" s="3" t="s">
        <v>115</v>
      </c>
      <c r="G9" s="3" t="s">
        <v>116</v>
      </c>
      <c r="H9" s="3" t="s">
        <v>117</v>
      </c>
      <c r="I9" s="3" t="s">
        <v>118</v>
      </c>
      <c r="J9" s="8"/>
    </row>
    <row r="10" spans="1:10">
      <c r="A10" s="7" t="s">
        <v>10</v>
      </c>
      <c r="B10" s="3" t="s">
        <v>113</v>
      </c>
      <c r="C10" s="3" t="s">
        <v>119</v>
      </c>
      <c r="D10" s="3">
        <v>10</v>
      </c>
      <c r="E10" s="3" t="s">
        <v>120</v>
      </c>
      <c r="F10" s="3" t="s">
        <v>121</v>
      </c>
      <c r="G10" s="3" t="s">
        <v>122</v>
      </c>
      <c r="H10" s="3" t="s">
        <v>123</v>
      </c>
      <c r="I10" s="3" t="s">
        <v>124</v>
      </c>
      <c r="J10" s="8"/>
    </row>
    <row r="11" spans="1:10" ht="27.6">
      <c r="A11" s="7" t="s">
        <v>16</v>
      </c>
      <c r="B11" s="3" t="s">
        <v>89</v>
      </c>
      <c r="C11" s="3" t="s">
        <v>90</v>
      </c>
      <c r="D11" s="3">
        <v>10</v>
      </c>
      <c r="E11" s="3" t="s">
        <v>91</v>
      </c>
      <c r="F11" s="3" t="s">
        <v>125</v>
      </c>
      <c r="G11" s="3" t="s">
        <v>126</v>
      </c>
      <c r="H11" s="3" t="s">
        <v>127</v>
      </c>
      <c r="I11" s="3" t="s">
        <v>128</v>
      </c>
      <c r="J11" s="8"/>
    </row>
    <row r="12" spans="1:10">
      <c r="A12" s="7" t="s">
        <v>16</v>
      </c>
      <c r="B12" s="3" t="s">
        <v>90</v>
      </c>
      <c r="C12" s="3" t="s">
        <v>96</v>
      </c>
      <c r="D12" s="3">
        <v>30</v>
      </c>
      <c r="E12" s="3" t="s">
        <v>11</v>
      </c>
      <c r="F12" s="3" t="s">
        <v>129</v>
      </c>
      <c r="G12" s="3" t="s">
        <v>130</v>
      </c>
      <c r="H12" s="3" t="s">
        <v>131</v>
      </c>
      <c r="I12" s="3" t="s">
        <v>132</v>
      </c>
      <c r="J12" s="8"/>
    </row>
    <row r="13" spans="1:10">
      <c r="A13" s="7" t="s">
        <v>16</v>
      </c>
      <c r="B13" s="3" t="s">
        <v>96</v>
      </c>
      <c r="C13" s="3" t="s">
        <v>101</v>
      </c>
      <c r="D13" s="3">
        <v>25</v>
      </c>
      <c r="E13" s="3" t="s">
        <v>102</v>
      </c>
      <c r="F13" s="3" t="s">
        <v>133</v>
      </c>
      <c r="G13" s="3" t="s">
        <v>104</v>
      </c>
      <c r="H13" s="3" t="s">
        <v>105</v>
      </c>
      <c r="I13" s="3" t="s">
        <v>134</v>
      </c>
      <c r="J13" s="8"/>
    </row>
    <row r="14" spans="1:10" ht="27.6">
      <c r="A14" s="7" t="s">
        <v>16</v>
      </c>
      <c r="B14" s="3" t="s">
        <v>101</v>
      </c>
      <c r="C14" s="3" t="s">
        <v>107</v>
      </c>
      <c r="D14" s="3">
        <v>25</v>
      </c>
      <c r="E14" s="3" t="s">
        <v>28</v>
      </c>
      <c r="F14" s="3" t="s">
        <v>135</v>
      </c>
      <c r="G14" s="3" t="s">
        <v>136</v>
      </c>
      <c r="H14" s="3" t="s">
        <v>137</v>
      </c>
      <c r="I14" s="3" t="s">
        <v>138</v>
      </c>
      <c r="J14" s="8"/>
    </row>
    <row r="15" spans="1:10" ht="27.6">
      <c r="A15" s="7" t="s">
        <v>16</v>
      </c>
      <c r="B15" s="3" t="s">
        <v>107</v>
      </c>
      <c r="C15" s="3" t="s">
        <v>113</v>
      </c>
      <c r="D15" s="3">
        <v>20</v>
      </c>
      <c r="E15" s="3" t="s">
        <v>31</v>
      </c>
      <c r="F15" s="3" t="s">
        <v>139</v>
      </c>
      <c r="G15" s="3" t="s">
        <v>140</v>
      </c>
      <c r="H15" s="3" t="s">
        <v>141</v>
      </c>
      <c r="I15" s="3" t="s">
        <v>142</v>
      </c>
      <c r="J15" s="8"/>
    </row>
    <row r="16" spans="1:10">
      <c r="A16" s="9" t="s">
        <v>16</v>
      </c>
      <c r="B16" s="10" t="s">
        <v>113</v>
      </c>
      <c r="C16" s="10" t="s">
        <v>119</v>
      </c>
      <c r="D16" s="10">
        <v>10</v>
      </c>
      <c r="E16" s="10" t="s">
        <v>120</v>
      </c>
      <c r="F16" s="10" t="s">
        <v>143</v>
      </c>
      <c r="G16" s="10" t="s">
        <v>122</v>
      </c>
      <c r="H16" s="10" t="s">
        <v>123</v>
      </c>
      <c r="I16" s="10" t="s">
        <v>144</v>
      </c>
      <c r="J16" s="11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0"/>
  <sheetViews>
    <sheetView zoomScale="80" zoomScaleNormal="80" workbookViewId="0">
      <selection sqref="A1:I1"/>
    </sheetView>
  </sheetViews>
  <sheetFormatPr defaultRowHeight="13.8"/>
  <cols>
    <col min="1" max="1" width="14" customWidth="1"/>
    <col min="2" max="2" width="18" customWidth="1"/>
    <col min="3" max="3" width="40" customWidth="1"/>
    <col min="4" max="4" width="28" customWidth="1"/>
    <col min="5" max="5" width="14" customWidth="1"/>
    <col min="6" max="6" width="18" customWidth="1"/>
    <col min="7" max="7" width="12" customWidth="1"/>
    <col min="8" max="8" width="34" customWidth="1"/>
    <col min="9" max="9" width="28" customWidth="1"/>
  </cols>
  <sheetData>
    <row r="1" spans="1:26" ht="13.6" customHeight="1">
      <c r="A1" s="26" t="s">
        <v>152</v>
      </c>
      <c r="B1" s="26"/>
      <c r="C1" s="26"/>
      <c r="D1" s="26"/>
      <c r="E1" s="26"/>
      <c r="F1" s="26"/>
      <c r="G1" s="26"/>
      <c r="H1" s="26"/>
      <c r="I1" s="26"/>
    </row>
    <row r="2" spans="1:26" ht="8.8000000000000007" customHeight="1">
      <c r="A2" s="27" t="s">
        <v>153</v>
      </c>
      <c r="B2" s="27"/>
      <c r="C2" s="27"/>
      <c r="D2" s="27"/>
      <c r="E2" s="27"/>
      <c r="F2" s="27"/>
      <c r="G2" s="27"/>
      <c r="H2" s="27"/>
      <c r="I2" s="27"/>
    </row>
    <row r="4" spans="1:26" ht="11.2" customHeight="1">
      <c r="A4" s="2" t="s">
        <v>154</v>
      </c>
      <c r="B4" s="2" t="s">
        <v>148</v>
      </c>
      <c r="C4" s="2" t="s">
        <v>155</v>
      </c>
      <c r="D4" s="2" t="s">
        <v>5</v>
      </c>
      <c r="E4" s="2" t="s">
        <v>156</v>
      </c>
      <c r="F4" s="2" t="s">
        <v>67</v>
      </c>
      <c r="G4" s="2" t="s">
        <v>157</v>
      </c>
      <c r="H4" s="2" t="s">
        <v>158</v>
      </c>
      <c r="I4" s="2" t="s">
        <v>159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14"/>
      <c r="B5" s="3"/>
      <c r="C5" s="3"/>
      <c r="D5" s="3"/>
      <c r="E5" s="14"/>
      <c r="F5" s="3"/>
      <c r="G5" s="2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14"/>
      <c r="B6" s="3"/>
      <c r="C6" s="3"/>
      <c r="D6" s="3"/>
      <c r="E6" s="14"/>
      <c r="F6" s="3"/>
      <c r="G6" s="2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14"/>
      <c r="B7" s="3"/>
      <c r="C7" s="3"/>
      <c r="D7" s="3"/>
      <c r="E7" s="14"/>
      <c r="F7" s="3"/>
      <c r="G7" s="25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14"/>
      <c r="B8" s="3"/>
      <c r="C8" s="3"/>
      <c r="D8" s="3"/>
      <c r="E8" s="14"/>
      <c r="F8" s="3"/>
      <c r="G8" s="25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14"/>
      <c r="B9" s="3"/>
      <c r="C9" s="3"/>
      <c r="D9" s="3"/>
      <c r="E9" s="14"/>
      <c r="F9" s="3"/>
      <c r="G9" s="2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14"/>
      <c r="B10" s="3"/>
      <c r="C10" s="3"/>
      <c r="D10" s="3"/>
      <c r="E10" s="14"/>
      <c r="F10" s="3"/>
      <c r="G10" s="2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14"/>
      <c r="B11" s="3"/>
      <c r="C11" s="3"/>
      <c r="D11" s="3"/>
      <c r="E11" s="14"/>
      <c r="F11" s="3"/>
      <c r="G11" s="2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14"/>
      <c r="B12" s="3"/>
      <c r="C12" s="3"/>
      <c r="D12" s="3"/>
      <c r="E12" s="14"/>
      <c r="F12" s="3"/>
      <c r="G12" s="2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14"/>
      <c r="B13" s="3"/>
      <c r="C13" s="3"/>
      <c r="D13" s="3"/>
      <c r="E13" s="14"/>
      <c r="F13" s="3"/>
      <c r="G13" s="25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14"/>
      <c r="B14" s="3"/>
      <c r="C14" s="3"/>
      <c r="D14" s="3"/>
      <c r="E14" s="14"/>
      <c r="F14" s="3"/>
      <c r="G14" s="2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14"/>
      <c r="B15" s="3"/>
      <c r="C15" s="3"/>
      <c r="D15" s="3"/>
      <c r="E15" s="14"/>
      <c r="F15" s="3"/>
      <c r="G15" s="2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14"/>
      <c r="B16" s="3"/>
      <c r="C16" s="3"/>
      <c r="D16" s="3"/>
      <c r="E16" s="14"/>
      <c r="F16" s="3"/>
      <c r="G16" s="2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14"/>
      <c r="B17" s="3"/>
      <c r="C17" s="3"/>
      <c r="D17" s="3"/>
      <c r="E17" s="14"/>
      <c r="F17" s="3"/>
      <c r="G17" s="2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14"/>
      <c r="B18" s="3"/>
      <c r="C18" s="3"/>
      <c r="D18" s="3"/>
      <c r="E18" s="14"/>
      <c r="F18" s="3"/>
      <c r="G18" s="2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14"/>
      <c r="B19" s="3"/>
      <c r="C19" s="3"/>
      <c r="D19" s="3"/>
      <c r="E19" s="14"/>
      <c r="F19" s="3"/>
      <c r="G19" s="2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14"/>
      <c r="B20" s="3"/>
      <c r="C20" s="3"/>
      <c r="D20" s="3"/>
      <c r="E20" s="14"/>
      <c r="F20" s="3"/>
      <c r="G20" s="2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14"/>
      <c r="B21" s="3"/>
      <c r="C21" s="3"/>
      <c r="D21" s="3"/>
      <c r="E21" s="14"/>
      <c r="F21" s="3"/>
      <c r="G21" s="2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14"/>
      <c r="B22" s="3"/>
      <c r="C22" s="3"/>
      <c r="D22" s="3"/>
      <c r="E22" s="14"/>
      <c r="F22" s="3"/>
      <c r="G22" s="25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14"/>
      <c r="B23" s="3"/>
      <c r="C23" s="3"/>
      <c r="D23" s="3"/>
      <c r="E23" s="14"/>
      <c r="F23" s="3"/>
      <c r="G23" s="25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14"/>
      <c r="B24" s="3"/>
      <c r="C24" s="3"/>
      <c r="D24" s="3"/>
      <c r="E24" s="14"/>
      <c r="F24" s="3"/>
      <c r="G24" s="2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14"/>
      <c r="B25" s="3"/>
      <c r="C25" s="3"/>
      <c r="D25" s="3"/>
      <c r="E25" s="14"/>
      <c r="F25" s="3"/>
      <c r="G25" s="2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14"/>
      <c r="B26" s="3"/>
      <c r="C26" s="3"/>
      <c r="D26" s="3"/>
      <c r="E26" s="14"/>
      <c r="F26" s="3"/>
      <c r="G26" s="2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14"/>
      <c r="B27" s="3"/>
      <c r="C27" s="3"/>
      <c r="D27" s="3"/>
      <c r="E27" s="14"/>
      <c r="F27" s="3"/>
      <c r="G27" s="2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14"/>
      <c r="B28" s="3"/>
      <c r="C28" s="3"/>
      <c r="D28" s="3"/>
      <c r="E28" s="14"/>
      <c r="F28" s="3"/>
      <c r="G28" s="2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14"/>
      <c r="B29" s="3"/>
      <c r="C29" s="3"/>
      <c r="D29" s="3"/>
      <c r="E29" s="14"/>
      <c r="F29" s="3"/>
      <c r="G29" s="2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14"/>
      <c r="B30" s="3"/>
      <c r="C30" s="3"/>
      <c r="D30" s="3"/>
      <c r="E30" s="14"/>
      <c r="F30" s="3"/>
      <c r="G30" s="2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14"/>
      <c r="B31" s="3"/>
      <c r="C31" s="3"/>
      <c r="D31" s="3"/>
      <c r="E31" s="14"/>
      <c r="F31" s="3"/>
      <c r="G31" s="2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14"/>
      <c r="B32" s="3"/>
      <c r="C32" s="3"/>
      <c r="D32" s="3"/>
      <c r="E32" s="14"/>
      <c r="F32" s="3"/>
      <c r="G32" s="2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14"/>
      <c r="B33" s="3"/>
      <c r="C33" s="3"/>
      <c r="D33" s="3"/>
      <c r="E33" s="14"/>
      <c r="F33" s="3"/>
      <c r="G33" s="2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14"/>
      <c r="B34" s="3"/>
      <c r="C34" s="3"/>
      <c r="D34" s="3"/>
      <c r="E34" s="14"/>
      <c r="F34" s="3"/>
      <c r="G34" s="2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14"/>
      <c r="B35" s="3"/>
      <c r="C35" s="3"/>
      <c r="D35" s="3"/>
      <c r="E35" s="14"/>
      <c r="F35" s="3"/>
      <c r="G35" s="2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14"/>
      <c r="B36" s="3"/>
      <c r="C36" s="3"/>
      <c r="D36" s="3"/>
      <c r="E36" s="14"/>
      <c r="F36" s="3"/>
      <c r="G36" s="2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14"/>
      <c r="B37" s="3"/>
      <c r="C37" s="3"/>
      <c r="D37" s="3"/>
      <c r="E37" s="14"/>
      <c r="F37" s="3"/>
      <c r="G37" s="2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14"/>
      <c r="B38" s="3"/>
      <c r="C38" s="3"/>
      <c r="D38" s="3"/>
      <c r="E38" s="14"/>
      <c r="F38" s="3"/>
      <c r="G38" s="2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14"/>
      <c r="B39" s="3"/>
      <c r="C39" s="3"/>
      <c r="D39" s="3"/>
      <c r="E39" s="14"/>
      <c r="F39" s="3"/>
      <c r="G39" s="2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14"/>
      <c r="B40" s="3"/>
      <c r="C40" s="3"/>
      <c r="D40" s="3"/>
      <c r="E40" s="14"/>
      <c r="F40" s="3"/>
      <c r="G40" s="2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14"/>
      <c r="B41" s="3"/>
      <c r="C41" s="3"/>
      <c r="D41" s="3"/>
      <c r="E41" s="14"/>
      <c r="F41" s="3"/>
      <c r="G41" s="2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14"/>
      <c r="B42" s="3"/>
      <c r="C42" s="3"/>
      <c r="D42" s="3"/>
      <c r="E42" s="14"/>
      <c r="F42" s="3"/>
      <c r="G42" s="2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14"/>
      <c r="B43" s="3"/>
      <c r="C43" s="3"/>
      <c r="D43" s="3"/>
      <c r="E43" s="14"/>
      <c r="F43" s="3"/>
      <c r="G43" s="2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14"/>
      <c r="B44" s="3"/>
      <c r="C44" s="3"/>
      <c r="D44" s="3"/>
      <c r="E44" s="14"/>
      <c r="F44" s="3"/>
      <c r="G44" s="2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14"/>
      <c r="B45" s="3"/>
      <c r="C45" s="3"/>
      <c r="D45" s="3"/>
      <c r="E45" s="14"/>
      <c r="F45" s="3"/>
      <c r="G45" s="2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14"/>
      <c r="B46" s="3"/>
      <c r="C46" s="3"/>
      <c r="D46" s="3"/>
      <c r="E46" s="14"/>
      <c r="F46" s="3"/>
      <c r="G46" s="2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14"/>
      <c r="B47" s="3"/>
      <c r="C47" s="3"/>
      <c r="D47" s="3"/>
      <c r="E47" s="14"/>
      <c r="F47" s="3"/>
      <c r="G47" s="2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14"/>
      <c r="B48" s="3"/>
      <c r="C48" s="3"/>
      <c r="D48" s="3"/>
      <c r="E48" s="14"/>
      <c r="F48" s="3"/>
      <c r="G48" s="2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14"/>
      <c r="B49" s="3"/>
      <c r="C49" s="3"/>
      <c r="D49" s="3"/>
      <c r="E49" s="14"/>
      <c r="F49" s="3"/>
      <c r="G49" s="2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14"/>
      <c r="B50" s="3"/>
      <c r="C50" s="3"/>
      <c r="D50" s="3"/>
      <c r="E50" s="14"/>
      <c r="F50" s="3"/>
      <c r="G50" s="25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14"/>
      <c r="B51" s="3"/>
      <c r="C51" s="3"/>
      <c r="D51" s="3"/>
      <c r="E51" s="14"/>
      <c r="F51" s="3"/>
      <c r="G51" s="2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14"/>
      <c r="B52" s="3"/>
      <c r="C52" s="3"/>
      <c r="D52" s="3"/>
      <c r="E52" s="14"/>
      <c r="F52" s="3"/>
      <c r="G52" s="2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14"/>
      <c r="B53" s="3"/>
      <c r="C53" s="3"/>
      <c r="D53" s="3"/>
      <c r="E53" s="14"/>
      <c r="F53" s="3"/>
      <c r="G53" s="2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14"/>
      <c r="B54" s="3"/>
      <c r="C54" s="3"/>
      <c r="D54" s="3"/>
      <c r="E54" s="14"/>
      <c r="F54" s="3"/>
      <c r="G54" s="2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14"/>
      <c r="B55" s="3"/>
      <c r="C55" s="3"/>
      <c r="D55" s="3"/>
      <c r="E55" s="14"/>
      <c r="F55" s="3"/>
      <c r="G55" s="2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14"/>
      <c r="B56" s="3"/>
      <c r="C56" s="3"/>
      <c r="D56" s="3"/>
      <c r="E56" s="14"/>
      <c r="F56" s="3"/>
      <c r="G56" s="2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14"/>
      <c r="B57" s="3"/>
      <c r="C57" s="3"/>
      <c r="D57" s="3"/>
      <c r="E57" s="14"/>
      <c r="F57" s="3"/>
      <c r="G57" s="2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14"/>
      <c r="B58" s="3"/>
      <c r="C58" s="3"/>
      <c r="D58" s="3"/>
      <c r="E58" s="14"/>
      <c r="F58" s="3"/>
      <c r="G58" s="2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14"/>
      <c r="B59" s="3"/>
      <c r="C59" s="3"/>
      <c r="D59" s="3"/>
      <c r="E59" s="14"/>
      <c r="F59" s="3"/>
      <c r="G59" s="2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14"/>
      <c r="B60" s="3"/>
      <c r="C60" s="3"/>
      <c r="D60" s="3"/>
      <c r="E60" s="14"/>
      <c r="F60" s="3"/>
      <c r="G60" s="2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14"/>
      <c r="B61" s="3"/>
      <c r="C61" s="3"/>
      <c r="D61" s="3"/>
      <c r="E61" s="14"/>
      <c r="F61" s="3"/>
      <c r="G61" s="2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14"/>
      <c r="B62" s="3"/>
      <c r="C62" s="3"/>
      <c r="D62" s="3"/>
      <c r="E62" s="14"/>
      <c r="F62" s="3"/>
      <c r="G62" s="2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14"/>
      <c r="B63" s="3"/>
      <c r="C63" s="3"/>
      <c r="D63" s="3"/>
      <c r="E63" s="14"/>
      <c r="F63" s="3"/>
      <c r="G63" s="2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14"/>
      <c r="B64" s="3"/>
      <c r="C64" s="3"/>
      <c r="D64" s="3"/>
      <c r="E64" s="14"/>
      <c r="F64" s="3"/>
      <c r="G64" s="2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14"/>
      <c r="B65" s="3"/>
      <c r="C65" s="3"/>
      <c r="D65" s="3"/>
      <c r="E65" s="14"/>
      <c r="F65" s="3"/>
      <c r="G65" s="2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14"/>
      <c r="B66" s="3"/>
      <c r="C66" s="3"/>
      <c r="D66" s="3"/>
      <c r="E66" s="14"/>
      <c r="F66" s="3"/>
      <c r="G66" s="2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14"/>
      <c r="B67" s="3"/>
      <c r="C67" s="3"/>
      <c r="D67" s="3"/>
      <c r="E67" s="14"/>
      <c r="F67" s="3"/>
      <c r="G67" s="2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14"/>
      <c r="B68" s="3"/>
      <c r="C68" s="3"/>
      <c r="D68" s="3"/>
      <c r="E68" s="14"/>
      <c r="F68" s="3"/>
      <c r="G68" s="2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14"/>
      <c r="B69" s="3"/>
      <c r="C69" s="3"/>
      <c r="D69" s="3"/>
      <c r="E69" s="14"/>
      <c r="F69" s="3"/>
      <c r="G69" s="2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14"/>
      <c r="B70" s="3"/>
      <c r="C70" s="3"/>
      <c r="D70" s="3"/>
      <c r="E70" s="14"/>
      <c r="F70" s="3"/>
      <c r="G70" s="2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14"/>
      <c r="B71" s="3"/>
      <c r="C71" s="3"/>
      <c r="D71" s="3"/>
      <c r="E71" s="14"/>
      <c r="F71" s="3"/>
      <c r="G71" s="2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14"/>
      <c r="B72" s="3"/>
      <c r="C72" s="3"/>
      <c r="D72" s="3"/>
      <c r="E72" s="14"/>
      <c r="F72" s="3"/>
      <c r="G72" s="2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14"/>
      <c r="B73" s="3"/>
      <c r="C73" s="3"/>
      <c r="D73" s="3"/>
      <c r="E73" s="14"/>
      <c r="F73" s="3"/>
      <c r="G73" s="2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14"/>
      <c r="B74" s="3"/>
      <c r="C74" s="3"/>
      <c r="D74" s="3"/>
      <c r="E74" s="14"/>
      <c r="F74" s="3"/>
      <c r="G74" s="2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14"/>
      <c r="B75" s="3"/>
      <c r="C75" s="3"/>
      <c r="D75" s="3"/>
      <c r="E75" s="14"/>
      <c r="F75" s="3"/>
      <c r="G75" s="2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14"/>
      <c r="B76" s="3"/>
      <c r="C76" s="3"/>
      <c r="D76" s="3"/>
      <c r="E76" s="14"/>
      <c r="F76" s="3"/>
      <c r="G76" s="2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14"/>
      <c r="B77" s="3"/>
      <c r="C77" s="3"/>
      <c r="D77" s="3"/>
      <c r="E77" s="14"/>
      <c r="F77" s="3"/>
      <c r="G77" s="2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14"/>
      <c r="B78" s="3"/>
      <c r="C78" s="3"/>
      <c r="D78" s="3"/>
      <c r="E78" s="14"/>
      <c r="F78" s="3"/>
      <c r="G78" s="2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14"/>
      <c r="B79" s="3"/>
      <c r="C79" s="3"/>
      <c r="D79" s="3"/>
      <c r="E79" s="14"/>
      <c r="F79" s="3"/>
      <c r="G79" s="2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14"/>
      <c r="B80" s="3"/>
      <c r="C80" s="3"/>
      <c r="D80" s="3"/>
      <c r="E80" s="14"/>
      <c r="F80" s="3"/>
      <c r="G80" s="2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14"/>
      <c r="B81" s="3"/>
      <c r="C81" s="3"/>
      <c r="D81" s="3"/>
      <c r="E81" s="14"/>
      <c r="F81" s="3"/>
      <c r="G81" s="2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14"/>
      <c r="B82" s="3"/>
      <c r="C82" s="3"/>
      <c r="D82" s="3"/>
      <c r="E82" s="14"/>
      <c r="F82" s="3"/>
      <c r="G82" s="2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14"/>
      <c r="B83" s="3"/>
      <c r="C83" s="3"/>
      <c r="D83" s="3"/>
      <c r="E83" s="14"/>
      <c r="F83" s="3"/>
      <c r="G83" s="2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14"/>
      <c r="B84" s="3"/>
      <c r="C84" s="3"/>
      <c r="D84" s="3"/>
      <c r="E84" s="14"/>
      <c r="F84" s="3"/>
      <c r="G84" s="2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14"/>
      <c r="B85" s="3"/>
      <c r="C85" s="3"/>
      <c r="D85" s="3"/>
      <c r="E85" s="14"/>
      <c r="F85" s="3"/>
      <c r="G85" s="2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14"/>
      <c r="B86" s="3"/>
      <c r="C86" s="3"/>
      <c r="D86" s="3"/>
      <c r="E86" s="14"/>
      <c r="F86" s="3"/>
      <c r="G86" s="2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14"/>
      <c r="B87" s="3"/>
      <c r="C87" s="3"/>
      <c r="D87" s="3"/>
      <c r="E87" s="14"/>
      <c r="F87" s="3"/>
      <c r="G87" s="2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14"/>
      <c r="B88" s="3"/>
      <c r="C88" s="3"/>
      <c r="D88" s="3"/>
      <c r="E88" s="14"/>
      <c r="F88" s="3"/>
      <c r="G88" s="2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14"/>
      <c r="B89" s="3"/>
      <c r="C89" s="3"/>
      <c r="D89" s="3"/>
      <c r="E89" s="14"/>
      <c r="F89" s="3"/>
      <c r="G89" s="2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14"/>
      <c r="B90" s="3"/>
      <c r="C90" s="3"/>
      <c r="D90" s="3"/>
      <c r="E90" s="14"/>
      <c r="F90" s="3"/>
      <c r="G90" s="2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14"/>
      <c r="B91" s="3"/>
      <c r="C91" s="3"/>
      <c r="D91" s="3"/>
      <c r="E91" s="14"/>
      <c r="F91" s="3"/>
      <c r="G91" s="2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14"/>
      <c r="B92" s="3"/>
      <c r="C92" s="3"/>
      <c r="D92" s="3"/>
      <c r="E92" s="14"/>
      <c r="F92" s="3"/>
      <c r="G92" s="2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14"/>
      <c r="B93" s="3"/>
      <c r="C93" s="3"/>
      <c r="D93" s="3"/>
      <c r="E93" s="14"/>
      <c r="F93" s="3"/>
      <c r="G93" s="2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14"/>
      <c r="B94" s="3"/>
      <c r="C94" s="3"/>
      <c r="D94" s="3"/>
      <c r="E94" s="14"/>
      <c r="F94" s="3"/>
      <c r="G94" s="2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14"/>
      <c r="B95" s="3"/>
      <c r="C95" s="3"/>
      <c r="D95" s="3"/>
      <c r="E95" s="14"/>
      <c r="F95" s="3"/>
      <c r="G95" s="2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14"/>
      <c r="B96" s="3"/>
      <c r="C96" s="3"/>
      <c r="D96" s="3"/>
      <c r="E96" s="14"/>
      <c r="F96" s="3"/>
      <c r="G96" s="2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14"/>
      <c r="B97" s="3"/>
      <c r="C97" s="3"/>
      <c r="D97" s="3"/>
      <c r="E97" s="14"/>
      <c r="F97" s="3"/>
      <c r="G97" s="2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14"/>
      <c r="B98" s="3"/>
      <c r="C98" s="3"/>
      <c r="D98" s="3"/>
      <c r="E98" s="14"/>
      <c r="F98" s="3"/>
      <c r="G98" s="2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14"/>
      <c r="B99" s="3"/>
      <c r="C99" s="3"/>
      <c r="D99" s="3"/>
      <c r="E99" s="14"/>
      <c r="F99" s="3"/>
      <c r="G99" s="2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14"/>
      <c r="B100" s="3"/>
      <c r="C100" s="3"/>
      <c r="D100" s="3"/>
      <c r="E100" s="14"/>
      <c r="F100" s="3"/>
      <c r="G100" s="2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14"/>
      <c r="B101" s="3"/>
      <c r="C101" s="3"/>
      <c r="D101" s="3"/>
      <c r="E101" s="14"/>
      <c r="F101" s="3"/>
      <c r="G101" s="2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14"/>
      <c r="B102" s="3"/>
      <c r="C102" s="3"/>
      <c r="D102" s="3"/>
      <c r="E102" s="14"/>
      <c r="F102" s="3"/>
      <c r="G102" s="2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14"/>
      <c r="B103" s="3"/>
      <c r="C103" s="3"/>
      <c r="D103" s="3"/>
      <c r="E103" s="14"/>
      <c r="F103" s="3"/>
      <c r="G103" s="2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14"/>
      <c r="B104" s="3"/>
      <c r="C104" s="3"/>
      <c r="D104" s="3"/>
      <c r="E104" s="14"/>
      <c r="F104" s="3"/>
      <c r="G104" s="2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</sheetData>
  <mergeCells count="2">
    <mergeCell ref="A1:I1"/>
    <mergeCell ref="A2:I2"/>
  </mergeCells>
  <conditionalFormatting sqref="F5:F104">
    <cfRule type="expression" dxfId="7" priority="1">
      <formula>F5="Completed"</formula>
    </cfRule>
    <cfRule type="expression" dxfId="6" priority="2">
      <formula>F5="In Progress"</formula>
    </cfRule>
    <cfRule type="expression" dxfId="5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Lists!$A$5:$A$7</xm:f>
          </x14:formula1>
          <xm:sqref>B5:B104</xm:sqref>
        </x14:dataValidation>
        <x14:dataValidation type="list" xr:uid="{00000000-0002-0000-0500-000001000000}">
          <x14:formula1>
            <xm:f>Lists!$D$5:$D$13</xm:f>
          </x14:formula1>
          <xm:sqref>D5:D104</xm:sqref>
        </x14:dataValidation>
        <x14:dataValidation type="list" xr:uid="{00000000-0002-0000-05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50"/>
  <sheetViews>
    <sheetView zoomScale="80" zoomScaleNormal="80" workbookViewId="0">
      <selection sqref="A1:I1"/>
    </sheetView>
  </sheetViews>
  <sheetFormatPr defaultRowHeight="13.8"/>
  <cols>
    <col min="1" max="1" width="14" customWidth="1"/>
    <col min="2" max="2" width="18" customWidth="1"/>
    <col min="3" max="3" width="34" customWidth="1"/>
    <col min="4" max="4" width="28" customWidth="1"/>
    <col min="5" max="5" width="12" customWidth="1"/>
    <col min="6" max="6" width="10" customWidth="1"/>
    <col min="7" max="7" width="13" customWidth="1"/>
    <col min="8" max="8" width="18" customWidth="1"/>
    <col min="9" max="9" width="34" customWidth="1"/>
  </cols>
  <sheetData>
    <row r="1" spans="1:26" ht="13.6" customHeight="1">
      <c r="A1" s="26" t="s">
        <v>166</v>
      </c>
      <c r="B1" s="26"/>
      <c r="C1" s="26"/>
      <c r="D1" s="26"/>
      <c r="E1" s="26"/>
      <c r="F1" s="26"/>
      <c r="G1" s="26"/>
      <c r="H1" s="26"/>
      <c r="I1" s="26"/>
    </row>
    <row r="2" spans="1:26" ht="8.8000000000000007" customHeight="1">
      <c r="A2" s="27" t="s">
        <v>167</v>
      </c>
      <c r="B2" s="27"/>
      <c r="C2" s="27"/>
      <c r="D2" s="27"/>
      <c r="E2" s="27"/>
      <c r="F2" s="27"/>
      <c r="G2" s="27"/>
      <c r="H2" s="27"/>
      <c r="I2" s="27"/>
    </row>
    <row r="4" spans="1:26" ht="11.2" customHeight="1">
      <c r="A4" s="2" t="s">
        <v>147</v>
      </c>
      <c r="B4" s="2" t="s">
        <v>148</v>
      </c>
      <c r="C4" s="2" t="s">
        <v>168</v>
      </c>
      <c r="D4" s="2" t="s">
        <v>169</v>
      </c>
      <c r="E4" s="2" t="s">
        <v>170</v>
      </c>
      <c r="F4" s="2" t="s">
        <v>171</v>
      </c>
      <c r="G4" s="2" t="s">
        <v>172</v>
      </c>
      <c r="H4" s="2" t="s">
        <v>173</v>
      </c>
      <c r="I4" s="2" t="s">
        <v>71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14"/>
      <c r="B5" s="3"/>
      <c r="C5" s="3"/>
      <c r="D5" s="3"/>
      <c r="E5" s="3"/>
      <c r="F5" s="3"/>
      <c r="G5" s="25" t="str">
        <f t="shared" ref="G5:G36" si="0">IF(OR(E5="",F5=""),"",F5/E5)</f>
        <v/>
      </c>
      <c r="H5" s="3" t="str">
        <f t="shared" ref="H5:H36" si="1">IF(G5="","",IF(G5&gt;=0.9,"Excellent",IF(G5&gt;=0.75,"Secure",IF(G5&gt;=0.6,"Developing","Needs Revision"))))</f>
        <v/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14"/>
      <c r="B6" s="3"/>
      <c r="C6" s="3"/>
      <c r="D6" s="3"/>
      <c r="E6" s="3"/>
      <c r="F6" s="3"/>
      <c r="G6" s="25" t="str">
        <f t="shared" si="0"/>
        <v/>
      </c>
      <c r="H6" s="3" t="str">
        <f t="shared" si="1"/>
        <v/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14"/>
      <c r="B7" s="3"/>
      <c r="C7" s="3"/>
      <c r="D7" s="3"/>
      <c r="E7" s="3"/>
      <c r="F7" s="3"/>
      <c r="G7" s="25" t="str">
        <f t="shared" si="0"/>
        <v/>
      </c>
      <c r="H7" s="3" t="str">
        <f t="shared" si="1"/>
        <v/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14"/>
      <c r="B8" s="3"/>
      <c r="C8" s="3"/>
      <c r="D8" s="3"/>
      <c r="E8" s="3"/>
      <c r="F8" s="3"/>
      <c r="G8" s="25" t="str">
        <f t="shared" si="0"/>
        <v/>
      </c>
      <c r="H8" s="3" t="str">
        <f t="shared" si="1"/>
        <v/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14"/>
      <c r="B9" s="3"/>
      <c r="C9" s="3"/>
      <c r="D9" s="3"/>
      <c r="E9" s="3"/>
      <c r="F9" s="3"/>
      <c r="G9" s="25" t="str">
        <f t="shared" si="0"/>
        <v/>
      </c>
      <c r="H9" s="3" t="str">
        <f t="shared" si="1"/>
        <v/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14"/>
      <c r="B10" s="3"/>
      <c r="C10" s="3"/>
      <c r="D10" s="3"/>
      <c r="E10" s="3"/>
      <c r="F10" s="3"/>
      <c r="G10" s="25" t="str">
        <f t="shared" si="0"/>
        <v/>
      </c>
      <c r="H10" s="3" t="str">
        <f t="shared" si="1"/>
        <v/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14"/>
      <c r="B11" s="3"/>
      <c r="C11" s="3"/>
      <c r="D11" s="3"/>
      <c r="E11" s="3"/>
      <c r="F11" s="3"/>
      <c r="G11" s="25" t="str">
        <f t="shared" si="0"/>
        <v/>
      </c>
      <c r="H11" s="3" t="str">
        <f t="shared" si="1"/>
        <v/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14"/>
      <c r="B12" s="3"/>
      <c r="C12" s="3"/>
      <c r="D12" s="3"/>
      <c r="E12" s="3"/>
      <c r="F12" s="3"/>
      <c r="G12" s="25" t="str">
        <f t="shared" si="0"/>
        <v/>
      </c>
      <c r="H12" s="3" t="str">
        <f t="shared" si="1"/>
        <v/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14"/>
      <c r="B13" s="3"/>
      <c r="C13" s="3"/>
      <c r="D13" s="3"/>
      <c r="E13" s="3"/>
      <c r="F13" s="3"/>
      <c r="G13" s="25" t="str">
        <f t="shared" si="0"/>
        <v/>
      </c>
      <c r="H13" s="3" t="str">
        <f t="shared" si="1"/>
        <v/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14"/>
      <c r="B14" s="3"/>
      <c r="C14" s="3"/>
      <c r="D14" s="3"/>
      <c r="E14" s="3"/>
      <c r="F14" s="3"/>
      <c r="G14" s="25" t="str">
        <f t="shared" si="0"/>
        <v/>
      </c>
      <c r="H14" s="3" t="str">
        <f t="shared" si="1"/>
        <v/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14"/>
      <c r="B15" s="3"/>
      <c r="C15" s="3"/>
      <c r="D15" s="3"/>
      <c r="E15" s="3"/>
      <c r="F15" s="3"/>
      <c r="G15" s="25" t="str">
        <f t="shared" si="0"/>
        <v/>
      </c>
      <c r="H15" s="3" t="str">
        <f t="shared" si="1"/>
        <v/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14"/>
      <c r="B16" s="3"/>
      <c r="C16" s="3"/>
      <c r="D16" s="3"/>
      <c r="E16" s="3"/>
      <c r="F16" s="3"/>
      <c r="G16" s="25" t="str">
        <f t="shared" si="0"/>
        <v/>
      </c>
      <c r="H16" s="3" t="str">
        <f t="shared" si="1"/>
        <v/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14"/>
      <c r="B17" s="3"/>
      <c r="C17" s="3"/>
      <c r="D17" s="3"/>
      <c r="E17" s="3"/>
      <c r="F17" s="3"/>
      <c r="G17" s="25" t="str">
        <f t="shared" si="0"/>
        <v/>
      </c>
      <c r="H17" s="3" t="str">
        <f t="shared" si="1"/>
        <v/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14"/>
      <c r="B18" s="3"/>
      <c r="C18" s="3"/>
      <c r="D18" s="3"/>
      <c r="E18" s="3"/>
      <c r="F18" s="3"/>
      <c r="G18" s="25" t="str">
        <f t="shared" si="0"/>
        <v/>
      </c>
      <c r="H18" s="3" t="str">
        <f t="shared" si="1"/>
        <v/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14"/>
      <c r="B19" s="3"/>
      <c r="C19" s="3"/>
      <c r="D19" s="3"/>
      <c r="E19" s="3"/>
      <c r="F19" s="3"/>
      <c r="G19" s="25" t="str">
        <f t="shared" si="0"/>
        <v/>
      </c>
      <c r="H19" s="3" t="str">
        <f t="shared" si="1"/>
        <v/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14"/>
      <c r="B20" s="3"/>
      <c r="C20" s="3"/>
      <c r="D20" s="3"/>
      <c r="E20" s="3"/>
      <c r="F20" s="3"/>
      <c r="G20" s="25" t="str">
        <f t="shared" si="0"/>
        <v/>
      </c>
      <c r="H20" s="3" t="str">
        <f t="shared" si="1"/>
        <v/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14"/>
      <c r="B21" s="3"/>
      <c r="C21" s="3"/>
      <c r="D21" s="3"/>
      <c r="E21" s="3"/>
      <c r="F21" s="3"/>
      <c r="G21" s="25" t="str">
        <f t="shared" si="0"/>
        <v/>
      </c>
      <c r="H21" s="3" t="str">
        <f t="shared" si="1"/>
        <v/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14"/>
      <c r="B22" s="3"/>
      <c r="C22" s="3"/>
      <c r="D22" s="3"/>
      <c r="E22" s="3"/>
      <c r="F22" s="3"/>
      <c r="G22" s="25" t="str">
        <f t="shared" si="0"/>
        <v/>
      </c>
      <c r="H22" s="3" t="str">
        <f t="shared" si="1"/>
        <v/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14"/>
      <c r="B23" s="3"/>
      <c r="C23" s="3"/>
      <c r="D23" s="3"/>
      <c r="E23" s="3"/>
      <c r="F23" s="3"/>
      <c r="G23" s="25" t="str">
        <f t="shared" si="0"/>
        <v/>
      </c>
      <c r="H23" s="3" t="str">
        <f t="shared" si="1"/>
        <v/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14"/>
      <c r="B24" s="3"/>
      <c r="C24" s="3"/>
      <c r="D24" s="3"/>
      <c r="E24" s="3"/>
      <c r="F24" s="3"/>
      <c r="G24" s="25" t="str">
        <f t="shared" si="0"/>
        <v/>
      </c>
      <c r="H24" s="3" t="str">
        <f t="shared" si="1"/>
        <v/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14"/>
      <c r="B25" s="3"/>
      <c r="C25" s="3"/>
      <c r="D25" s="3"/>
      <c r="E25" s="3"/>
      <c r="F25" s="3"/>
      <c r="G25" s="25" t="str">
        <f t="shared" si="0"/>
        <v/>
      </c>
      <c r="H25" s="3" t="str">
        <f t="shared" si="1"/>
        <v/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14"/>
      <c r="B26" s="3"/>
      <c r="C26" s="3"/>
      <c r="D26" s="3"/>
      <c r="E26" s="3"/>
      <c r="F26" s="3"/>
      <c r="G26" s="25" t="str">
        <f t="shared" si="0"/>
        <v/>
      </c>
      <c r="H26" s="3" t="str">
        <f t="shared" si="1"/>
        <v/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14"/>
      <c r="B27" s="3"/>
      <c r="C27" s="3"/>
      <c r="D27" s="3"/>
      <c r="E27" s="3"/>
      <c r="F27" s="3"/>
      <c r="G27" s="25" t="str">
        <f t="shared" si="0"/>
        <v/>
      </c>
      <c r="H27" s="3" t="str">
        <f t="shared" si="1"/>
        <v/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14"/>
      <c r="B28" s="3"/>
      <c r="C28" s="3"/>
      <c r="D28" s="3"/>
      <c r="E28" s="3"/>
      <c r="F28" s="3"/>
      <c r="G28" s="25" t="str">
        <f t="shared" si="0"/>
        <v/>
      </c>
      <c r="H28" s="3" t="str">
        <f t="shared" si="1"/>
        <v/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14"/>
      <c r="B29" s="3"/>
      <c r="C29" s="3"/>
      <c r="D29" s="3"/>
      <c r="E29" s="3"/>
      <c r="F29" s="3"/>
      <c r="G29" s="25" t="str">
        <f t="shared" si="0"/>
        <v/>
      </c>
      <c r="H29" s="3" t="str">
        <f t="shared" si="1"/>
        <v/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14"/>
      <c r="B30" s="3"/>
      <c r="C30" s="3"/>
      <c r="D30" s="3"/>
      <c r="E30" s="3"/>
      <c r="F30" s="3"/>
      <c r="G30" s="25" t="str">
        <f t="shared" si="0"/>
        <v/>
      </c>
      <c r="H30" s="3" t="str">
        <f t="shared" si="1"/>
        <v/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14"/>
      <c r="B31" s="3"/>
      <c r="C31" s="3"/>
      <c r="D31" s="3"/>
      <c r="E31" s="3"/>
      <c r="F31" s="3"/>
      <c r="G31" s="25" t="str">
        <f t="shared" si="0"/>
        <v/>
      </c>
      <c r="H31" s="3" t="str">
        <f t="shared" si="1"/>
        <v/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14"/>
      <c r="B32" s="3"/>
      <c r="C32" s="3"/>
      <c r="D32" s="3"/>
      <c r="E32" s="3"/>
      <c r="F32" s="3"/>
      <c r="G32" s="25" t="str">
        <f t="shared" si="0"/>
        <v/>
      </c>
      <c r="H32" s="3" t="str">
        <f t="shared" si="1"/>
        <v/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14"/>
      <c r="B33" s="3"/>
      <c r="C33" s="3"/>
      <c r="D33" s="3"/>
      <c r="E33" s="3"/>
      <c r="F33" s="3"/>
      <c r="G33" s="25" t="str">
        <f t="shared" si="0"/>
        <v/>
      </c>
      <c r="H33" s="3" t="str">
        <f t="shared" si="1"/>
        <v/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14"/>
      <c r="B34" s="3"/>
      <c r="C34" s="3"/>
      <c r="D34" s="3"/>
      <c r="E34" s="3"/>
      <c r="F34" s="3"/>
      <c r="G34" s="25" t="str">
        <f t="shared" si="0"/>
        <v/>
      </c>
      <c r="H34" s="3" t="str">
        <f t="shared" si="1"/>
        <v/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14"/>
      <c r="B35" s="3"/>
      <c r="C35" s="3"/>
      <c r="D35" s="3"/>
      <c r="E35" s="3"/>
      <c r="F35" s="3"/>
      <c r="G35" s="25" t="str">
        <f t="shared" si="0"/>
        <v/>
      </c>
      <c r="H35" s="3" t="str">
        <f t="shared" si="1"/>
        <v/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14"/>
      <c r="B36" s="3"/>
      <c r="C36" s="3"/>
      <c r="D36" s="3"/>
      <c r="E36" s="3"/>
      <c r="F36" s="3"/>
      <c r="G36" s="25" t="str">
        <f t="shared" si="0"/>
        <v/>
      </c>
      <c r="H36" s="3" t="str">
        <f t="shared" si="1"/>
        <v/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14"/>
      <c r="B37" s="3"/>
      <c r="C37" s="3"/>
      <c r="D37" s="3"/>
      <c r="E37" s="3"/>
      <c r="F37" s="3"/>
      <c r="G37" s="25" t="str">
        <f t="shared" ref="G37:G68" si="2">IF(OR(E37="",F37=""),"",F37/E37)</f>
        <v/>
      </c>
      <c r="H37" s="3" t="str">
        <f t="shared" ref="H37:H68" si="3">IF(G37="","",IF(G37&gt;=0.9,"Excellent",IF(G37&gt;=0.75,"Secure",IF(G37&gt;=0.6,"Developing","Needs Revision"))))</f>
        <v/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14"/>
      <c r="B38" s="3"/>
      <c r="C38" s="3"/>
      <c r="D38" s="3"/>
      <c r="E38" s="3"/>
      <c r="F38" s="3"/>
      <c r="G38" s="25" t="str">
        <f t="shared" si="2"/>
        <v/>
      </c>
      <c r="H38" s="3" t="str">
        <f t="shared" si="3"/>
        <v/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14"/>
      <c r="B39" s="3"/>
      <c r="C39" s="3"/>
      <c r="D39" s="3"/>
      <c r="E39" s="3"/>
      <c r="F39" s="3"/>
      <c r="G39" s="25" t="str">
        <f t="shared" si="2"/>
        <v/>
      </c>
      <c r="H39" s="3" t="str">
        <f t="shared" si="3"/>
        <v/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14"/>
      <c r="B40" s="3"/>
      <c r="C40" s="3"/>
      <c r="D40" s="3"/>
      <c r="E40" s="3"/>
      <c r="F40" s="3"/>
      <c r="G40" s="25" t="str">
        <f t="shared" si="2"/>
        <v/>
      </c>
      <c r="H40" s="3" t="str">
        <f t="shared" si="3"/>
        <v/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14"/>
      <c r="B41" s="3"/>
      <c r="C41" s="3"/>
      <c r="D41" s="3"/>
      <c r="E41" s="3"/>
      <c r="F41" s="3"/>
      <c r="G41" s="25" t="str">
        <f t="shared" si="2"/>
        <v/>
      </c>
      <c r="H41" s="3" t="str">
        <f t="shared" si="3"/>
        <v/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14"/>
      <c r="B42" s="3"/>
      <c r="C42" s="3"/>
      <c r="D42" s="3"/>
      <c r="E42" s="3"/>
      <c r="F42" s="3"/>
      <c r="G42" s="25" t="str">
        <f t="shared" si="2"/>
        <v/>
      </c>
      <c r="H42" s="3" t="str">
        <f t="shared" si="3"/>
        <v/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14"/>
      <c r="B43" s="3"/>
      <c r="C43" s="3"/>
      <c r="D43" s="3"/>
      <c r="E43" s="3"/>
      <c r="F43" s="3"/>
      <c r="G43" s="25" t="str">
        <f t="shared" si="2"/>
        <v/>
      </c>
      <c r="H43" s="3" t="str">
        <f t="shared" si="3"/>
        <v/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14"/>
      <c r="B44" s="3"/>
      <c r="C44" s="3"/>
      <c r="D44" s="3"/>
      <c r="E44" s="3"/>
      <c r="F44" s="3"/>
      <c r="G44" s="25" t="str">
        <f t="shared" si="2"/>
        <v/>
      </c>
      <c r="H44" s="3" t="str">
        <f t="shared" si="3"/>
        <v/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14"/>
      <c r="B45" s="3"/>
      <c r="C45" s="3"/>
      <c r="D45" s="3"/>
      <c r="E45" s="3"/>
      <c r="F45" s="3"/>
      <c r="G45" s="25" t="str">
        <f t="shared" si="2"/>
        <v/>
      </c>
      <c r="H45" s="3" t="str">
        <f t="shared" si="3"/>
        <v/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14"/>
      <c r="B46" s="3"/>
      <c r="C46" s="3"/>
      <c r="D46" s="3"/>
      <c r="E46" s="3"/>
      <c r="F46" s="3"/>
      <c r="G46" s="25" t="str">
        <f t="shared" si="2"/>
        <v/>
      </c>
      <c r="H46" s="3" t="str">
        <f t="shared" si="3"/>
        <v/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14"/>
      <c r="B47" s="3"/>
      <c r="C47" s="3"/>
      <c r="D47" s="3"/>
      <c r="E47" s="3"/>
      <c r="F47" s="3"/>
      <c r="G47" s="25" t="str">
        <f t="shared" si="2"/>
        <v/>
      </c>
      <c r="H47" s="3" t="str">
        <f t="shared" si="3"/>
        <v/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14"/>
      <c r="B48" s="3"/>
      <c r="C48" s="3"/>
      <c r="D48" s="3"/>
      <c r="E48" s="3"/>
      <c r="F48" s="3"/>
      <c r="G48" s="25" t="str">
        <f t="shared" si="2"/>
        <v/>
      </c>
      <c r="H48" s="3" t="str">
        <f t="shared" si="3"/>
        <v/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14"/>
      <c r="B49" s="3"/>
      <c r="C49" s="3"/>
      <c r="D49" s="3"/>
      <c r="E49" s="3"/>
      <c r="F49" s="3"/>
      <c r="G49" s="25" t="str">
        <f t="shared" si="2"/>
        <v/>
      </c>
      <c r="H49" s="3" t="str">
        <f t="shared" si="3"/>
        <v/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14"/>
      <c r="B50" s="3"/>
      <c r="C50" s="3"/>
      <c r="D50" s="3"/>
      <c r="E50" s="3"/>
      <c r="F50" s="3"/>
      <c r="G50" s="25" t="str">
        <f t="shared" si="2"/>
        <v/>
      </c>
      <c r="H50" s="3" t="str">
        <f t="shared" si="3"/>
        <v/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14"/>
      <c r="B51" s="3"/>
      <c r="C51" s="3"/>
      <c r="D51" s="3"/>
      <c r="E51" s="3"/>
      <c r="F51" s="3"/>
      <c r="G51" s="25" t="str">
        <f t="shared" si="2"/>
        <v/>
      </c>
      <c r="H51" s="3" t="str">
        <f t="shared" si="3"/>
        <v/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14"/>
      <c r="B52" s="3"/>
      <c r="C52" s="3"/>
      <c r="D52" s="3"/>
      <c r="E52" s="3"/>
      <c r="F52" s="3"/>
      <c r="G52" s="25" t="str">
        <f t="shared" si="2"/>
        <v/>
      </c>
      <c r="H52" s="3" t="str">
        <f t="shared" si="3"/>
        <v/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14"/>
      <c r="B53" s="3"/>
      <c r="C53" s="3"/>
      <c r="D53" s="3"/>
      <c r="E53" s="3"/>
      <c r="F53" s="3"/>
      <c r="G53" s="25" t="str">
        <f t="shared" si="2"/>
        <v/>
      </c>
      <c r="H53" s="3" t="str">
        <f t="shared" si="3"/>
        <v/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14"/>
      <c r="B54" s="3"/>
      <c r="C54" s="3"/>
      <c r="D54" s="3"/>
      <c r="E54" s="3"/>
      <c r="F54" s="3"/>
      <c r="G54" s="25" t="str">
        <f t="shared" si="2"/>
        <v/>
      </c>
      <c r="H54" s="3" t="str">
        <f t="shared" si="3"/>
        <v/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14"/>
      <c r="B55" s="3"/>
      <c r="C55" s="3"/>
      <c r="D55" s="3"/>
      <c r="E55" s="3"/>
      <c r="F55" s="3"/>
      <c r="G55" s="25" t="str">
        <f t="shared" si="2"/>
        <v/>
      </c>
      <c r="H55" s="3" t="str">
        <f t="shared" si="3"/>
        <v/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14"/>
      <c r="B56" s="3"/>
      <c r="C56" s="3"/>
      <c r="D56" s="3"/>
      <c r="E56" s="3"/>
      <c r="F56" s="3"/>
      <c r="G56" s="25" t="str">
        <f t="shared" si="2"/>
        <v/>
      </c>
      <c r="H56" s="3" t="str">
        <f t="shared" si="3"/>
        <v/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14"/>
      <c r="B57" s="3"/>
      <c r="C57" s="3"/>
      <c r="D57" s="3"/>
      <c r="E57" s="3"/>
      <c r="F57" s="3"/>
      <c r="G57" s="25" t="str">
        <f t="shared" si="2"/>
        <v/>
      </c>
      <c r="H57" s="3" t="str">
        <f t="shared" si="3"/>
        <v/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14"/>
      <c r="B58" s="3"/>
      <c r="C58" s="3"/>
      <c r="D58" s="3"/>
      <c r="E58" s="3"/>
      <c r="F58" s="3"/>
      <c r="G58" s="25" t="str">
        <f t="shared" si="2"/>
        <v/>
      </c>
      <c r="H58" s="3" t="str">
        <f t="shared" si="3"/>
        <v/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14"/>
      <c r="B59" s="3"/>
      <c r="C59" s="3"/>
      <c r="D59" s="3"/>
      <c r="E59" s="3"/>
      <c r="F59" s="3"/>
      <c r="G59" s="25" t="str">
        <f t="shared" si="2"/>
        <v/>
      </c>
      <c r="H59" s="3" t="str">
        <f t="shared" si="3"/>
        <v/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14"/>
      <c r="B60" s="3"/>
      <c r="C60" s="3"/>
      <c r="D60" s="3"/>
      <c r="E60" s="3"/>
      <c r="F60" s="3"/>
      <c r="G60" s="25" t="str">
        <f t="shared" si="2"/>
        <v/>
      </c>
      <c r="H60" s="3" t="str">
        <f t="shared" si="3"/>
        <v/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14"/>
      <c r="B61" s="3"/>
      <c r="C61" s="3"/>
      <c r="D61" s="3"/>
      <c r="E61" s="3"/>
      <c r="F61" s="3"/>
      <c r="G61" s="25" t="str">
        <f t="shared" si="2"/>
        <v/>
      </c>
      <c r="H61" s="3" t="str">
        <f t="shared" si="3"/>
        <v/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14"/>
      <c r="B62" s="3"/>
      <c r="C62" s="3"/>
      <c r="D62" s="3"/>
      <c r="E62" s="3"/>
      <c r="F62" s="3"/>
      <c r="G62" s="25" t="str">
        <f t="shared" si="2"/>
        <v/>
      </c>
      <c r="H62" s="3" t="str">
        <f t="shared" si="3"/>
        <v/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14"/>
      <c r="B63" s="3"/>
      <c r="C63" s="3"/>
      <c r="D63" s="3"/>
      <c r="E63" s="3"/>
      <c r="F63" s="3"/>
      <c r="G63" s="25" t="str">
        <f t="shared" si="2"/>
        <v/>
      </c>
      <c r="H63" s="3" t="str">
        <f t="shared" si="3"/>
        <v/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14"/>
      <c r="B64" s="3"/>
      <c r="C64" s="3"/>
      <c r="D64" s="3"/>
      <c r="E64" s="3"/>
      <c r="F64" s="3"/>
      <c r="G64" s="25" t="str">
        <f t="shared" si="2"/>
        <v/>
      </c>
      <c r="H64" s="3" t="str">
        <f t="shared" si="3"/>
        <v/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14"/>
      <c r="B65" s="3"/>
      <c r="C65" s="3"/>
      <c r="D65" s="3"/>
      <c r="E65" s="3"/>
      <c r="F65" s="3"/>
      <c r="G65" s="25" t="str">
        <f t="shared" si="2"/>
        <v/>
      </c>
      <c r="H65" s="3" t="str">
        <f t="shared" si="3"/>
        <v/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14"/>
      <c r="B66" s="3"/>
      <c r="C66" s="3"/>
      <c r="D66" s="3"/>
      <c r="E66" s="3"/>
      <c r="F66" s="3"/>
      <c r="G66" s="25" t="str">
        <f t="shared" si="2"/>
        <v/>
      </c>
      <c r="H66" s="3" t="str">
        <f t="shared" si="3"/>
        <v/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14"/>
      <c r="B67" s="3"/>
      <c r="C67" s="3"/>
      <c r="D67" s="3"/>
      <c r="E67" s="3"/>
      <c r="F67" s="3"/>
      <c r="G67" s="25" t="str">
        <f t="shared" si="2"/>
        <v/>
      </c>
      <c r="H67" s="3" t="str">
        <f t="shared" si="3"/>
        <v/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14"/>
      <c r="B68" s="3"/>
      <c r="C68" s="3"/>
      <c r="D68" s="3"/>
      <c r="E68" s="3"/>
      <c r="F68" s="3"/>
      <c r="G68" s="25" t="str">
        <f t="shared" si="2"/>
        <v/>
      </c>
      <c r="H68" s="3" t="str">
        <f t="shared" si="3"/>
        <v/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14"/>
      <c r="B69" s="3"/>
      <c r="C69" s="3"/>
      <c r="D69" s="3"/>
      <c r="E69" s="3"/>
      <c r="F69" s="3"/>
      <c r="G69" s="25" t="str">
        <f t="shared" ref="G69:G100" si="4">IF(OR(E69="",F69=""),"",F69/E69)</f>
        <v/>
      </c>
      <c r="H69" s="3" t="str">
        <f t="shared" ref="H69:H100" si="5">IF(G69="","",IF(G69&gt;=0.9,"Excellent",IF(G69&gt;=0.75,"Secure",IF(G69&gt;=0.6,"Developing","Needs Revision"))))</f>
        <v/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14"/>
      <c r="B70" s="3"/>
      <c r="C70" s="3"/>
      <c r="D70" s="3"/>
      <c r="E70" s="3"/>
      <c r="F70" s="3"/>
      <c r="G70" s="25" t="str">
        <f t="shared" si="4"/>
        <v/>
      </c>
      <c r="H70" s="3" t="str">
        <f t="shared" si="5"/>
        <v/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14"/>
      <c r="B71" s="3"/>
      <c r="C71" s="3"/>
      <c r="D71" s="3"/>
      <c r="E71" s="3"/>
      <c r="F71" s="3"/>
      <c r="G71" s="25" t="str">
        <f t="shared" si="4"/>
        <v/>
      </c>
      <c r="H71" s="3" t="str">
        <f t="shared" si="5"/>
        <v/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14"/>
      <c r="B72" s="3"/>
      <c r="C72" s="3"/>
      <c r="D72" s="3"/>
      <c r="E72" s="3"/>
      <c r="F72" s="3"/>
      <c r="G72" s="25" t="str">
        <f t="shared" si="4"/>
        <v/>
      </c>
      <c r="H72" s="3" t="str">
        <f t="shared" si="5"/>
        <v/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14"/>
      <c r="B73" s="3"/>
      <c r="C73" s="3"/>
      <c r="D73" s="3"/>
      <c r="E73" s="3"/>
      <c r="F73" s="3"/>
      <c r="G73" s="25" t="str">
        <f t="shared" si="4"/>
        <v/>
      </c>
      <c r="H73" s="3" t="str">
        <f t="shared" si="5"/>
        <v/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14"/>
      <c r="B74" s="3"/>
      <c r="C74" s="3"/>
      <c r="D74" s="3"/>
      <c r="E74" s="3"/>
      <c r="F74" s="3"/>
      <c r="G74" s="25" t="str">
        <f t="shared" si="4"/>
        <v/>
      </c>
      <c r="H74" s="3" t="str">
        <f t="shared" si="5"/>
        <v/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14"/>
      <c r="B75" s="3"/>
      <c r="C75" s="3"/>
      <c r="D75" s="3"/>
      <c r="E75" s="3"/>
      <c r="F75" s="3"/>
      <c r="G75" s="25" t="str">
        <f t="shared" si="4"/>
        <v/>
      </c>
      <c r="H75" s="3" t="str">
        <f t="shared" si="5"/>
        <v/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14"/>
      <c r="B76" s="3"/>
      <c r="C76" s="3"/>
      <c r="D76" s="3"/>
      <c r="E76" s="3"/>
      <c r="F76" s="3"/>
      <c r="G76" s="25" t="str">
        <f t="shared" si="4"/>
        <v/>
      </c>
      <c r="H76" s="3" t="str">
        <f t="shared" si="5"/>
        <v/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14"/>
      <c r="B77" s="3"/>
      <c r="C77" s="3"/>
      <c r="D77" s="3"/>
      <c r="E77" s="3"/>
      <c r="F77" s="3"/>
      <c r="G77" s="25" t="str">
        <f t="shared" si="4"/>
        <v/>
      </c>
      <c r="H77" s="3" t="str">
        <f t="shared" si="5"/>
        <v/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14"/>
      <c r="B78" s="3"/>
      <c r="C78" s="3"/>
      <c r="D78" s="3"/>
      <c r="E78" s="3"/>
      <c r="F78" s="3"/>
      <c r="G78" s="25" t="str">
        <f t="shared" si="4"/>
        <v/>
      </c>
      <c r="H78" s="3" t="str">
        <f t="shared" si="5"/>
        <v/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14"/>
      <c r="B79" s="3"/>
      <c r="C79" s="3"/>
      <c r="D79" s="3"/>
      <c r="E79" s="3"/>
      <c r="F79" s="3"/>
      <c r="G79" s="25" t="str">
        <f t="shared" si="4"/>
        <v/>
      </c>
      <c r="H79" s="3" t="str">
        <f t="shared" si="5"/>
        <v/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14"/>
      <c r="B80" s="3"/>
      <c r="C80" s="3"/>
      <c r="D80" s="3"/>
      <c r="E80" s="3"/>
      <c r="F80" s="3"/>
      <c r="G80" s="25" t="str">
        <f t="shared" si="4"/>
        <v/>
      </c>
      <c r="H80" s="3" t="str">
        <f t="shared" si="5"/>
        <v/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14"/>
      <c r="B81" s="3"/>
      <c r="C81" s="3"/>
      <c r="D81" s="3"/>
      <c r="E81" s="3"/>
      <c r="F81" s="3"/>
      <c r="G81" s="25" t="str">
        <f t="shared" si="4"/>
        <v/>
      </c>
      <c r="H81" s="3" t="str">
        <f t="shared" si="5"/>
        <v/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14"/>
      <c r="B82" s="3"/>
      <c r="C82" s="3"/>
      <c r="D82" s="3"/>
      <c r="E82" s="3"/>
      <c r="F82" s="3"/>
      <c r="G82" s="25" t="str">
        <f t="shared" si="4"/>
        <v/>
      </c>
      <c r="H82" s="3" t="str">
        <f t="shared" si="5"/>
        <v/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14"/>
      <c r="B83" s="3"/>
      <c r="C83" s="3"/>
      <c r="D83" s="3"/>
      <c r="E83" s="3"/>
      <c r="F83" s="3"/>
      <c r="G83" s="25" t="str">
        <f t="shared" si="4"/>
        <v/>
      </c>
      <c r="H83" s="3" t="str">
        <f t="shared" si="5"/>
        <v/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14"/>
      <c r="B84" s="3"/>
      <c r="C84" s="3"/>
      <c r="D84" s="3"/>
      <c r="E84" s="3"/>
      <c r="F84" s="3"/>
      <c r="G84" s="25" t="str">
        <f t="shared" si="4"/>
        <v/>
      </c>
      <c r="H84" s="3" t="str">
        <f t="shared" si="5"/>
        <v/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14"/>
      <c r="B85" s="3"/>
      <c r="C85" s="3"/>
      <c r="D85" s="3"/>
      <c r="E85" s="3"/>
      <c r="F85" s="3"/>
      <c r="G85" s="25" t="str">
        <f t="shared" si="4"/>
        <v/>
      </c>
      <c r="H85" s="3" t="str">
        <f t="shared" si="5"/>
        <v/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14"/>
      <c r="B86" s="3"/>
      <c r="C86" s="3"/>
      <c r="D86" s="3"/>
      <c r="E86" s="3"/>
      <c r="F86" s="3"/>
      <c r="G86" s="25" t="str">
        <f t="shared" si="4"/>
        <v/>
      </c>
      <c r="H86" s="3" t="str">
        <f t="shared" si="5"/>
        <v/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14"/>
      <c r="B87" s="3"/>
      <c r="C87" s="3"/>
      <c r="D87" s="3"/>
      <c r="E87" s="3"/>
      <c r="F87" s="3"/>
      <c r="G87" s="25" t="str">
        <f t="shared" si="4"/>
        <v/>
      </c>
      <c r="H87" s="3" t="str">
        <f t="shared" si="5"/>
        <v/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14"/>
      <c r="B88" s="3"/>
      <c r="C88" s="3"/>
      <c r="D88" s="3"/>
      <c r="E88" s="3"/>
      <c r="F88" s="3"/>
      <c r="G88" s="25" t="str">
        <f t="shared" si="4"/>
        <v/>
      </c>
      <c r="H88" s="3" t="str">
        <f t="shared" si="5"/>
        <v/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14"/>
      <c r="B89" s="3"/>
      <c r="C89" s="3"/>
      <c r="D89" s="3"/>
      <c r="E89" s="3"/>
      <c r="F89" s="3"/>
      <c r="G89" s="25" t="str">
        <f t="shared" si="4"/>
        <v/>
      </c>
      <c r="H89" s="3" t="str">
        <f t="shared" si="5"/>
        <v/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14"/>
      <c r="B90" s="3"/>
      <c r="C90" s="3"/>
      <c r="D90" s="3"/>
      <c r="E90" s="3"/>
      <c r="F90" s="3"/>
      <c r="G90" s="25" t="str">
        <f t="shared" si="4"/>
        <v/>
      </c>
      <c r="H90" s="3" t="str">
        <f t="shared" si="5"/>
        <v/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14"/>
      <c r="B91" s="3"/>
      <c r="C91" s="3"/>
      <c r="D91" s="3"/>
      <c r="E91" s="3"/>
      <c r="F91" s="3"/>
      <c r="G91" s="25" t="str">
        <f t="shared" si="4"/>
        <v/>
      </c>
      <c r="H91" s="3" t="str">
        <f t="shared" si="5"/>
        <v/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14"/>
      <c r="B92" s="3"/>
      <c r="C92" s="3"/>
      <c r="D92" s="3"/>
      <c r="E92" s="3"/>
      <c r="F92" s="3"/>
      <c r="G92" s="25" t="str">
        <f t="shared" si="4"/>
        <v/>
      </c>
      <c r="H92" s="3" t="str">
        <f t="shared" si="5"/>
        <v/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14"/>
      <c r="B93" s="3"/>
      <c r="C93" s="3"/>
      <c r="D93" s="3"/>
      <c r="E93" s="3"/>
      <c r="F93" s="3"/>
      <c r="G93" s="25" t="str">
        <f t="shared" si="4"/>
        <v/>
      </c>
      <c r="H93" s="3" t="str">
        <f t="shared" si="5"/>
        <v/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14"/>
      <c r="B94" s="3"/>
      <c r="C94" s="3"/>
      <c r="D94" s="3"/>
      <c r="E94" s="3"/>
      <c r="F94" s="3"/>
      <c r="G94" s="25" t="str">
        <f t="shared" si="4"/>
        <v/>
      </c>
      <c r="H94" s="3" t="str">
        <f t="shared" si="5"/>
        <v/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14"/>
      <c r="B95" s="3"/>
      <c r="C95" s="3"/>
      <c r="D95" s="3"/>
      <c r="E95" s="3"/>
      <c r="F95" s="3"/>
      <c r="G95" s="25" t="str">
        <f t="shared" si="4"/>
        <v/>
      </c>
      <c r="H95" s="3" t="str">
        <f t="shared" si="5"/>
        <v/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14"/>
      <c r="B96" s="3"/>
      <c r="C96" s="3"/>
      <c r="D96" s="3"/>
      <c r="E96" s="3"/>
      <c r="F96" s="3"/>
      <c r="G96" s="25" t="str">
        <f t="shared" si="4"/>
        <v/>
      </c>
      <c r="H96" s="3" t="str">
        <f t="shared" si="5"/>
        <v/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14"/>
      <c r="B97" s="3"/>
      <c r="C97" s="3"/>
      <c r="D97" s="3"/>
      <c r="E97" s="3"/>
      <c r="F97" s="3"/>
      <c r="G97" s="25" t="str">
        <f t="shared" si="4"/>
        <v/>
      </c>
      <c r="H97" s="3" t="str">
        <f t="shared" si="5"/>
        <v/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14"/>
      <c r="B98" s="3"/>
      <c r="C98" s="3"/>
      <c r="D98" s="3"/>
      <c r="E98" s="3"/>
      <c r="F98" s="3"/>
      <c r="G98" s="25" t="str">
        <f t="shared" si="4"/>
        <v/>
      </c>
      <c r="H98" s="3" t="str">
        <f t="shared" si="5"/>
        <v/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14"/>
      <c r="B99" s="3"/>
      <c r="C99" s="3"/>
      <c r="D99" s="3"/>
      <c r="E99" s="3"/>
      <c r="F99" s="3"/>
      <c r="G99" s="25" t="str">
        <f t="shared" si="4"/>
        <v/>
      </c>
      <c r="H99" s="3" t="str">
        <f t="shared" si="5"/>
        <v/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14"/>
      <c r="B100" s="3"/>
      <c r="C100" s="3"/>
      <c r="D100" s="3"/>
      <c r="E100" s="3"/>
      <c r="F100" s="3"/>
      <c r="G100" s="25" t="str">
        <f t="shared" si="4"/>
        <v/>
      </c>
      <c r="H100" s="3" t="str">
        <f t="shared" si="5"/>
        <v/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14"/>
      <c r="B101" s="3"/>
      <c r="C101" s="3"/>
      <c r="D101" s="3"/>
      <c r="E101" s="3"/>
      <c r="F101" s="3"/>
      <c r="G101" s="25" t="str">
        <f t="shared" ref="G101:G132" si="6">IF(OR(E101="",F101=""),"",F101/E101)</f>
        <v/>
      </c>
      <c r="H101" s="3" t="str">
        <f t="shared" ref="H101:H132" si="7">IF(G101="","",IF(G101&gt;=0.9,"Excellent",IF(G101&gt;=0.75,"Secure",IF(G101&gt;=0.6,"Developing","Needs Revision"))))</f>
        <v/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14"/>
      <c r="B102" s="3"/>
      <c r="C102" s="3"/>
      <c r="D102" s="3"/>
      <c r="E102" s="3"/>
      <c r="F102" s="3"/>
      <c r="G102" s="25" t="str">
        <f t="shared" si="6"/>
        <v/>
      </c>
      <c r="H102" s="3" t="str">
        <f t="shared" si="7"/>
        <v/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14"/>
      <c r="B103" s="3"/>
      <c r="C103" s="3"/>
      <c r="D103" s="3"/>
      <c r="E103" s="3"/>
      <c r="F103" s="3"/>
      <c r="G103" s="25" t="str">
        <f t="shared" si="6"/>
        <v/>
      </c>
      <c r="H103" s="3" t="str">
        <f t="shared" si="7"/>
        <v/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14"/>
      <c r="B104" s="3"/>
      <c r="C104" s="3"/>
      <c r="D104" s="3"/>
      <c r="E104" s="3"/>
      <c r="F104" s="3"/>
      <c r="G104" s="25" t="str">
        <f t="shared" si="6"/>
        <v/>
      </c>
      <c r="H104" s="3" t="str">
        <f t="shared" si="7"/>
        <v/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50"/>
  <sheetViews>
    <sheetView zoomScale="80" zoomScaleNormal="80" workbookViewId="0">
      <selection sqref="A1:J1"/>
    </sheetView>
  </sheetViews>
  <sheetFormatPr defaultRowHeight="13.8"/>
  <cols>
    <col min="1" max="1" width="14" customWidth="1"/>
    <col min="2" max="2" width="15" customWidth="1"/>
    <col min="3" max="4" width="10" customWidth="1"/>
    <col min="5" max="5" width="28" customWidth="1"/>
    <col min="6" max="6" width="34" customWidth="1"/>
    <col min="7" max="8" width="40" customWidth="1"/>
    <col min="9" max="9" width="12" customWidth="1"/>
    <col min="10" max="10" width="40" customWidth="1"/>
  </cols>
  <sheetData>
    <row r="1" spans="1:26" ht="13.6" customHeight="1">
      <c r="A1" s="26" t="s">
        <v>174</v>
      </c>
      <c r="B1" s="26"/>
      <c r="C1" s="26"/>
      <c r="D1" s="26"/>
      <c r="E1" s="26"/>
      <c r="F1" s="26"/>
      <c r="G1" s="26"/>
      <c r="H1" s="26"/>
      <c r="I1" s="26"/>
      <c r="J1" s="26"/>
    </row>
    <row r="2" spans="1:26" ht="8.8000000000000007" customHeight="1">
      <c r="A2" s="27" t="s">
        <v>175</v>
      </c>
      <c r="B2" s="27"/>
      <c r="C2" s="27"/>
      <c r="D2" s="27"/>
      <c r="E2" s="27"/>
      <c r="F2" s="27"/>
      <c r="G2" s="27"/>
      <c r="H2" s="27"/>
      <c r="I2" s="27"/>
      <c r="J2" s="27"/>
    </row>
    <row r="4" spans="1:26" ht="11.2" customHeight="1">
      <c r="A4" s="2" t="s">
        <v>147</v>
      </c>
      <c r="B4" s="2" t="s">
        <v>4</v>
      </c>
      <c r="C4" s="2" t="s">
        <v>80</v>
      </c>
      <c r="D4" s="2" t="s">
        <v>81</v>
      </c>
      <c r="E4" s="2" t="s">
        <v>5</v>
      </c>
      <c r="F4" s="2" t="s">
        <v>176</v>
      </c>
      <c r="G4" s="2" t="s">
        <v>177</v>
      </c>
      <c r="H4" s="2" t="s">
        <v>178</v>
      </c>
      <c r="I4" s="2" t="s">
        <v>24</v>
      </c>
      <c r="J4" s="2" t="s">
        <v>179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14"/>
      <c r="B5" s="3"/>
      <c r="C5" s="24"/>
      <c r="D5" s="2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14"/>
      <c r="B6" s="3"/>
      <c r="C6" s="24"/>
      <c r="D6" s="2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14"/>
      <c r="B7" s="3"/>
      <c r="C7" s="24"/>
      <c r="D7" s="2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14"/>
      <c r="B8" s="3"/>
      <c r="C8" s="24"/>
      <c r="D8" s="2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14"/>
      <c r="B9" s="3"/>
      <c r="C9" s="24"/>
      <c r="D9" s="24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14"/>
      <c r="B10" s="3"/>
      <c r="C10" s="24"/>
      <c r="D10" s="2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14"/>
      <c r="B11" s="3"/>
      <c r="C11" s="24"/>
      <c r="D11" s="2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14"/>
      <c r="B12" s="3"/>
      <c r="C12" s="24"/>
      <c r="D12" s="2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14"/>
      <c r="B13" s="3"/>
      <c r="C13" s="24"/>
      <c r="D13" s="2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14"/>
      <c r="B14" s="3"/>
      <c r="C14" s="24"/>
      <c r="D14" s="2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14"/>
      <c r="B15" s="3"/>
      <c r="C15" s="24"/>
      <c r="D15" s="24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14"/>
      <c r="B16" s="3"/>
      <c r="C16" s="24"/>
      <c r="D16" s="2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14"/>
      <c r="B17" s="3"/>
      <c r="C17" s="24"/>
      <c r="D17" s="24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14"/>
      <c r="B18" s="3"/>
      <c r="C18" s="24"/>
      <c r="D18" s="2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14"/>
      <c r="B19" s="3"/>
      <c r="C19" s="24"/>
      <c r="D19" s="2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14"/>
      <c r="B20" s="3"/>
      <c r="C20" s="24"/>
      <c r="D20" s="2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14"/>
      <c r="B21" s="3"/>
      <c r="C21" s="24"/>
      <c r="D21" s="2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14"/>
      <c r="B22" s="3"/>
      <c r="C22" s="24"/>
      <c r="D22" s="2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14"/>
      <c r="B23" s="3"/>
      <c r="C23" s="24"/>
      <c r="D23" s="24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14"/>
      <c r="B24" s="3"/>
      <c r="C24" s="24"/>
      <c r="D24" s="24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14"/>
      <c r="B25" s="3"/>
      <c r="C25" s="24"/>
      <c r="D25" s="2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14"/>
      <c r="B26" s="3"/>
      <c r="C26" s="24"/>
      <c r="D26" s="2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14"/>
      <c r="B27" s="3"/>
      <c r="C27" s="24"/>
      <c r="D27" s="2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14"/>
      <c r="B28" s="3"/>
      <c r="C28" s="24"/>
      <c r="D28" s="24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14"/>
      <c r="B29" s="3"/>
      <c r="C29" s="24"/>
      <c r="D29" s="2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14"/>
      <c r="B30" s="3"/>
      <c r="C30" s="24"/>
      <c r="D30" s="24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14"/>
      <c r="B31" s="3"/>
      <c r="C31" s="24"/>
      <c r="D31" s="24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14"/>
      <c r="B32" s="3"/>
      <c r="C32" s="24"/>
      <c r="D32" s="24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14"/>
      <c r="B33" s="3"/>
      <c r="C33" s="24"/>
      <c r="D33" s="24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14"/>
      <c r="B34" s="3"/>
      <c r="C34" s="24"/>
      <c r="D34" s="2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14"/>
      <c r="B35" s="3"/>
      <c r="C35" s="24"/>
      <c r="D35" s="24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14"/>
      <c r="B36" s="3"/>
      <c r="C36" s="24"/>
      <c r="D36" s="24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14"/>
      <c r="B37" s="3"/>
      <c r="C37" s="24"/>
      <c r="D37" s="24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14"/>
      <c r="B38" s="3"/>
      <c r="C38" s="24"/>
      <c r="D38" s="24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14"/>
      <c r="B39" s="3"/>
      <c r="C39" s="24"/>
      <c r="D39" s="24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14"/>
      <c r="B40" s="3"/>
      <c r="C40" s="24"/>
      <c r="D40" s="24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14"/>
      <c r="B41" s="3"/>
      <c r="C41" s="24"/>
      <c r="D41" s="24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14"/>
      <c r="B42" s="3"/>
      <c r="C42" s="24"/>
      <c r="D42" s="24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14"/>
      <c r="B43" s="3"/>
      <c r="C43" s="24"/>
      <c r="D43" s="2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14"/>
      <c r="B44" s="3"/>
      <c r="C44" s="24"/>
      <c r="D44" s="2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14"/>
      <c r="B45" s="3"/>
      <c r="C45" s="24"/>
      <c r="D45" s="2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14"/>
      <c r="B46" s="3"/>
      <c r="C46" s="24"/>
      <c r="D46" s="2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14"/>
      <c r="B47" s="3"/>
      <c r="C47" s="24"/>
      <c r="D47" s="2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14"/>
      <c r="B48" s="3"/>
      <c r="C48" s="24"/>
      <c r="D48" s="2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14"/>
      <c r="B49" s="3"/>
      <c r="C49" s="24"/>
      <c r="D49" s="2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14"/>
      <c r="B50" s="3"/>
      <c r="C50" s="24"/>
      <c r="D50" s="2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14"/>
      <c r="B51" s="3"/>
      <c r="C51" s="24"/>
      <c r="D51" s="2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14"/>
      <c r="B52" s="3"/>
      <c r="C52" s="24"/>
      <c r="D52" s="2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14"/>
      <c r="B53" s="3"/>
      <c r="C53" s="24"/>
      <c r="D53" s="2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14"/>
      <c r="B54" s="3"/>
      <c r="C54" s="24"/>
      <c r="D54" s="2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14"/>
      <c r="B55" s="3"/>
      <c r="C55" s="24"/>
      <c r="D55" s="2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14"/>
      <c r="B56" s="3"/>
      <c r="C56" s="24"/>
      <c r="D56" s="2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14"/>
      <c r="B57" s="3"/>
      <c r="C57" s="24"/>
      <c r="D57" s="2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14"/>
      <c r="B58" s="3"/>
      <c r="C58" s="24"/>
      <c r="D58" s="2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14"/>
      <c r="B59" s="3"/>
      <c r="C59" s="24"/>
      <c r="D59" s="2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14"/>
      <c r="B60" s="3"/>
      <c r="C60" s="24"/>
      <c r="D60" s="2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14"/>
      <c r="B61" s="3"/>
      <c r="C61" s="24"/>
      <c r="D61" s="2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14"/>
      <c r="B62" s="3"/>
      <c r="C62" s="24"/>
      <c r="D62" s="2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14"/>
      <c r="B63" s="3"/>
      <c r="C63" s="24"/>
      <c r="D63" s="2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14"/>
      <c r="B64" s="3"/>
      <c r="C64" s="24"/>
      <c r="D64" s="2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14"/>
      <c r="B65" s="3"/>
      <c r="C65" s="24"/>
      <c r="D65" s="2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14"/>
      <c r="B66" s="3"/>
      <c r="C66" s="24"/>
      <c r="D66" s="2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14"/>
      <c r="B67" s="3"/>
      <c r="C67" s="24"/>
      <c r="D67" s="2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14"/>
      <c r="B68" s="3"/>
      <c r="C68" s="24"/>
      <c r="D68" s="2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14"/>
      <c r="B69" s="3"/>
      <c r="C69" s="24"/>
      <c r="D69" s="2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14"/>
      <c r="B70" s="3"/>
      <c r="C70" s="24"/>
      <c r="D70" s="2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14"/>
      <c r="B71" s="3"/>
      <c r="C71" s="24"/>
      <c r="D71" s="2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14"/>
      <c r="B72" s="3"/>
      <c r="C72" s="24"/>
      <c r="D72" s="2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14"/>
      <c r="B73" s="3"/>
      <c r="C73" s="24"/>
      <c r="D73" s="2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14"/>
      <c r="B74" s="3"/>
      <c r="C74" s="24"/>
      <c r="D74" s="2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14"/>
      <c r="B75" s="3"/>
      <c r="C75" s="24"/>
      <c r="D75" s="2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14"/>
      <c r="B76" s="3"/>
      <c r="C76" s="24"/>
      <c r="D76" s="2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14"/>
      <c r="B77" s="3"/>
      <c r="C77" s="24"/>
      <c r="D77" s="2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14"/>
      <c r="B78" s="3"/>
      <c r="C78" s="24"/>
      <c r="D78" s="2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14"/>
      <c r="B79" s="3"/>
      <c r="C79" s="24"/>
      <c r="D79" s="2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14"/>
      <c r="B80" s="3"/>
      <c r="C80" s="24"/>
      <c r="D80" s="2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14"/>
      <c r="B81" s="3"/>
      <c r="C81" s="24"/>
      <c r="D81" s="2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14"/>
      <c r="B82" s="3"/>
      <c r="C82" s="24"/>
      <c r="D82" s="2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14"/>
      <c r="B83" s="3"/>
      <c r="C83" s="24"/>
      <c r="D83" s="2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14"/>
      <c r="B84" s="3"/>
      <c r="C84" s="24"/>
      <c r="D84" s="2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14"/>
      <c r="B85" s="3"/>
      <c r="C85" s="24"/>
      <c r="D85" s="2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14"/>
      <c r="B86" s="3"/>
      <c r="C86" s="24"/>
      <c r="D86" s="2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14"/>
      <c r="B87" s="3"/>
      <c r="C87" s="24"/>
      <c r="D87" s="2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14"/>
      <c r="B88" s="3"/>
      <c r="C88" s="24"/>
      <c r="D88" s="2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14"/>
      <c r="B89" s="3"/>
      <c r="C89" s="24"/>
      <c r="D89" s="2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14"/>
      <c r="B90" s="3"/>
      <c r="C90" s="24"/>
      <c r="D90" s="2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14"/>
      <c r="B91" s="3"/>
      <c r="C91" s="24"/>
      <c r="D91" s="2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14"/>
      <c r="B92" s="3"/>
      <c r="C92" s="24"/>
      <c r="D92" s="2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14"/>
      <c r="B93" s="3"/>
      <c r="C93" s="24"/>
      <c r="D93" s="2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14"/>
      <c r="B94" s="3"/>
      <c r="C94" s="24"/>
      <c r="D94" s="2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14"/>
      <c r="B95" s="3"/>
      <c r="C95" s="24"/>
      <c r="D95" s="2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14"/>
      <c r="B96" s="3"/>
      <c r="C96" s="24"/>
      <c r="D96" s="2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14"/>
      <c r="B97" s="3"/>
      <c r="C97" s="24"/>
      <c r="D97" s="2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14"/>
      <c r="B98" s="3"/>
      <c r="C98" s="24"/>
      <c r="D98" s="2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14"/>
      <c r="B99" s="3"/>
      <c r="C99" s="24"/>
      <c r="D99" s="2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14"/>
      <c r="B100" s="3"/>
      <c r="C100" s="24"/>
      <c r="D100" s="2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14"/>
      <c r="B101" s="3"/>
      <c r="C101" s="24"/>
      <c r="D101" s="2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14"/>
      <c r="B102" s="3"/>
      <c r="C102" s="24"/>
      <c r="D102" s="2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14"/>
      <c r="B103" s="3"/>
      <c r="C103" s="24"/>
      <c r="D103" s="2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14"/>
      <c r="B104" s="3"/>
      <c r="C104" s="24"/>
      <c r="D104" s="2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</sheetData>
  <mergeCells count="2">
    <mergeCell ref="A1:J1"/>
    <mergeCell ref="A2:J2"/>
  </mergeCells>
  <conditionalFormatting sqref="I5:I104">
    <cfRule type="expression" dxfId="2" priority="1">
      <formula>I5="Yes"</formula>
    </cfRule>
    <cfRule type="expression" dxfId="1" priority="2">
      <formula>I5="Partly"</formula>
    </cfRule>
    <cfRule type="expression" dxfId="0" priority="3">
      <formula>I5="No"</formula>
    </cfRule>
  </conditionalFormatting>
  <dataValidations count="1">
    <dataValidation type="list" sqref="I5:I104" xr:uid="{00000000-0002-0000-0800-000002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Lists!$C$5:$C$8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E5:E104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Progress</vt:lpstr>
      <vt:lpstr>Class Plan</vt:lpstr>
      <vt:lpstr>Homework</vt:lpstr>
      <vt:lpstr>Assessments</vt:lpstr>
      <vt:lpstr>Lesson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2026-09-06T11:10:55Z</dcterms:modified>
</cp:coreProperties>
</file>