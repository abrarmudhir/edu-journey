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SehhaDeveloper\src\l3\edu-journey\assets\deen\madrasa\"/>
    </mc:Choice>
  </mc:AlternateContent>
  <xr:revisionPtr revIDLastSave="0" documentId="13_ncr:1_{0084AB57-9EAE-46E7-B5D2-804713402EE8}" xr6:coauthVersionLast="47" xr6:coauthVersionMax="47" xr10:uidLastSave="{00000000-0000-0000-0000-000000000000}"/>
  <bookViews>
    <workbookView xWindow="-96" yWindow="-96" windowWidth="23232" windowHeight="13872" activeTab="6" xr2:uid="{00000000-000D-0000-FFFF-FFFF00000000}"/>
  </bookViews>
  <sheets>
    <sheet name="Dashboard" sheetId="10" r:id="rId1"/>
    <sheet name="Attendance" sheetId="5" r:id="rId2"/>
    <sheet name="Lists" sheetId="1" state="hidden" r:id="rId3"/>
    <sheet name="How to Use" sheetId="2" state="hidden" r:id="rId4"/>
    <sheet name="Students" sheetId="3" state="hidden" r:id="rId5"/>
    <sheet name="Lesson Log" sheetId="9" state="hidden" r:id="rId6"/>
    <sheet name="Progress" sheetId="7" r:id="rId7"/>
    <sheet name="Class Plan" sheetId="4" state="hidden" r:id="rId8"/>
    <sheet name="Homework" sheetId="6" state="hidden" r:id="rId9"/>
    <sheet name="Assessments" sheetId="8" state="hidden" r:id="rId1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8" l="1"/>
  <c r="H104" i="8" s="1"/>
  <c r="G103" i="8"/>
  <c r="H103" i="8" s="1"/>
  <c r="G102" i="8"/>
  <c r="H102" i="8" s="1"/>
  <c r="G101" i="8"/>
  <c r="H101" i="8" s="1"/>
  <c r="G100" i="8"/>
  <c r="H100" i="8" s="1"/>
  <c r="G99" i="8"/>
  <c r="H99" i="8" s="1"/>
  <c r="G98" i="8"/>
  <c r="H98" i="8" s="1"/>
  <c r="G97" i="8"/>
  <c r="H97" i="8" s="1"/>
  <c r="G96" i="8"/>
  <c r="H96" i="8" s="1"/>
  <c r="G95" i="8"/>
  <c r="H95" i="8" s="1"/>
  <c r="G94" i="8"/>
  <c r="H94" i="8" s="1"/>
  <c r="G93" i="8"/>
  <c r="H93" i="8" s="1"/>
  <c r="G92" i="8"/>
  <c r="H92" i="8" s="1"/>
  <c r="G91" i="8"/>
  <c r="H91" i="8" s="1"/>
  <c r="G90" i="8"/>
  <c r="H90" i="8" s="1"/>
  <c r="G89" i="8"/>
  <c r="H89" i="8" s="1"/>
  <c r="G88" i="8"/>
  <c r="H88" i="8" s="1"/>
  <c r="G87" i="8"/>
  <c r="H87" i="8" s="1"/>
  <c r="G86" i="8"/>
  <c r="H86" i="8" s="1"/>
  <c r="G85" i="8"/>
  <c r="H85" i="8" s="1"/>
  <c r="G84" i="8"/>
  <c r="H84" i="8" s="1"/>
  <c r="G83" i="8"/>
  <c r="H83" i="8" s="1"/>
  <c r="G82" i="8"/>
  <c r="H82" i="8" s="1"/>
  <c r="G81" i="8"/>
  <c r="H81" i="8" s="1"/>
  <c r="G80" i="8"/>
  <c r="H80" i="8" s="1"/>
  <c r="G79" i="8"/>
  <c r="H79" i="8" s="1"/>
  <c r="G78" i="8"/>
  <c r="H78" i="8" s="1"/>
  <c r="G77" i="8"/>
  <c r="H77" i="8" s="1"/>
  <c r="G76" i="8"/>
  <c r="H76" i="8" s="1"/>
  <c r="G75" i="8"/>
  <c r="H75" i="8" s="1"/>
  <c r="G74" i="8"/>
  <c r="H74" i="8" s="1"/>
  <c r="G73" i="8"/>
  <c r="H73" i="8" s="1"/>
  <c r="G72" i="8"/>
  <c r="H72" i="8" s="1"/>
  <c r="G71" i="8"/>
  <c r="H71" i="8" s="1"/>
  <c r="G70" i="8"/>
  <c r="H70" i="8" s="1"/>
  <c r="G69" i="8"/>
  <c r="H69" i="8" s="1"/>
  <c r="G68" i="8"/>
  <c r="H68" i="8" s="1"/>
  <c r="G67" i="8"/>
  <c r="H67" i="8" s="1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H60" i="8" s="1"/>
  <c r="G59" i="8"/>
  <c r="H59" i="8" s="1"/>
  <c r="G58" i="8"/>
  <c r="H58" i="8" s="1"/>
  <c r="G57" i="8"/>
  <c r="H57" i="8" s="1"/>
  <c r="G56" i="8"/>
  <c r="H56" i="8" s="1"/>
  <c r="G55" i="8"/>
  <c r="H55" i="8" s="1"/>
  <c r="G54" i="8"/>
  <c r="H54" i="8" s="1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H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H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6" i="8"/>
  <c r="H6" i="8" s="1"/>
  <c r="G5" i="8"/>
  <c r="H5" i="8" s="1"/>
  <c r="B28" i="10"/>
  <c r="B27" i="10"/>
  <c r="B26" i="10"/>
  <c r="B25" i="10"/>
  <c r="B24" i="10"/>
  <c r="E23" i="10"/>
  <c r="B23" i="10"/>
  <c r="E22" i="10"/>
  <c r="B22" i="10"/>
  <c r="E21" i="10"/>
  <c r="B21" i="10"/>
  <c r="E20" i="10"/>
  <c r="B20" i="10"/>
  <c r="A15" i="10"/>
  <c r="A14" i="10"/>
  <c r="A13" i="10"/>
  <c r="B8" i="10"/>
  <c r="B7" i="10"/>
  <c r="B6" i="10"/>
  <c r="I5" i="10"/>
  <c r="H5" i="10"/>
  <c r="G5" i="10"/>
  <c r="F5" i="10"/>
  <c r="E5" i="10"/>
  <c r="D5" i="10"/>
  <c r="E15" i="10" l="1"/>
  <c r="D15" i="10"/>
  <c r="C15" i="10"/>
  <c r="B15" i="10"/>
  <c r="E14" i="10"/>
  <c r="D14" i="10"/>
  <c r="C14" i="10"/>
  <c r="B14" i="10"/>
  <c r="E13" i="10"/>
  <c r="D13" i="10"/>
  <c r="C13" i="10"/>
  <c r="B13" i="10"/>
</calcChain>
</file>

<file path=xl/sharedStrings.xml><?xml version="1.0" encoding="utf-8"?>
<sst xmlns="http://schemas.openxmlformats.org/spreadsheetml/2006/main" count="495" uniqueCount="215">
  <si>
    <t>Madrasa Class Dashboard</t>
  </si>
  <si>
    <t>Selected Student</t>
  </si>
  <si>
    <t>Attendance %</t>
  </si>
  <si>
    <t>Homework Complete %</t>
  </si>
  <si>
    <t>Average Mastery %</t>
  </si>
  <si>
    <t>Assessment Average %</t>
  </si>
  <si>
    <t>Attendance Records</t>
  </si>
  <si>
    <t>Progress Entries</t>
  </si>
  <si>
    <t>Student</t>
  </si>
  <si>
    <t>Age</t>
  </si>
  <si>
    <t>Status</t>
  </si>
  <si>
    <t>Avg Mastery</t>
  </si>
  <si>
    <t>Attendance</t>
  </si>
  <si>
    <t>Homework</t>
  </si>
  <si>
    <t>Assessment</t>
  </si>
  <si>
    <t>Qur'an – Murājaʿah</t>
  </si>
  <si>
    <t>Qur'an – Hifdh / Tajwīd</t>
  </si>
  <si>
    <t>ʿAqīdah / Tawḥīd</t>
  </si>
  <si>
    <t>Fiqh</t>
  </si>
  <si>
    <t>Ḥadīth &amp; Sunnah</t>
  </si>
  <si>
    <t>Arabic / Vocabulary</t>
  </si>
  <si>
    <t>Duʿā / Adhkār</t>
  </si>
  <si>
    <t>Adab / Character</t>
  </si>
  <si>
    <t>Review / Assessment</t>
  </si>
  <si>
    <t>Attendance &amp; Participation</t>
  </si>
  <si>
    <t>Enter one row per student per class.</t>
  </si>
  <si>
    <t>Date</t>
  </si>
  <si>
    <t>Session</t>
  </si>
  <si>
    <t>Arrival Time</t>
  </si>
  <si>
    <t>Participation (1–5)</t>
  </si>
  <si>
    <t>Adab / Conduct</t>
  </si>
  <si>
    <t>Notes</t>
  </si>
  <si>
    <t>Mudhir</t>
  </si>
  <si>
    <t>Sunday</t>
  </si>
  <si>
    <t>Present</t>
  </si>
  <si>
    <t xml:space="preserve">not well behaved </t>
  </si>
  <si>
    <t>came to class with water and not prepared</t>
  </si>
  <si>
    <t>Nafisa</t>
  </si>
  <si>
    <t>Jameela</t>
  </si>
  <si>
    <t>ok</t>
  </si>
  <si>
    <t>Lists &amp; Settings</t>
  </si>
  <si>
    <t>Dropdown values used throughout the workbook.</t>
  </si>
  <si>
    <t>Students</t>
  </si>
  <si>
    <t>Attendance Status</t>
  </si>
  <si>
    <t>Topic Area</t>
  </si>
  <si>
    <t>Homework Status</t>
  </si>
  <si>
    <t>Confidence</t>
  </si>
  <si>
    <t>Saturday</t>
  </si>
  <si>
    <t>Not Started</t>
  </si>
  <si>
    <t>1 - Low</t>
  </si>
  <si>
    <t>Late</t>
  </si>
  <si>
    <t>In Progress</t>
  </si>
  <si>
    <t>2</t>
  </si>
  <si>
    <t>Absent</t>
  </si>
  <si>
    <t>Day 1</t>
  </si>
  <si>
    <t>Completed</t>
  </si>
  <si>
    <t>3 - Medium</t>
  </si>
  <si>
    <t>Excused</t>
  </si>
  <si>
    <t>Day 2</t>
  </si>
  <si>
    <t>Needs Revision</t>
  </si>
  <si>
    <t>4</t>
  </si>
  <si>
    <t>5 - High</t>
  </si>
  <si>
    <t>How to Use This Class Manager</t>
  </si>
  <si>
    <t>A simple workflow for managing the weekend madrasa class.</t>
  </si>
  <si>
    <t>Step</t>
  </si>
  <si>
    <t>What to do</t>
  </si>
  <si>
    <t>Where</t>
  </si>
  <si>
    <t>1</t>
  </si>
  <si>
    <t>Keep student details up to date. Add new students below the current three when needed.</t>
  </si>
  <si>
    <t>Before each class, copy or adapt the 2-hour plan and record the lesson objective.</t>
  </si>
  <si>
    <t>Class Plan / Lesson Log</t>
  </si>
  <si>
    <t>3</t>
  </si>
  <si>
    <t>Record attendance, punctuality and participation for every student.</t>
  </si>
  <si>
    <t>Set homework with a due date and update its status. Use the score and feedback fields where useful.</t>
  </si>
  <si>
    <t>5</t>
  </si>
  <si>
    <t>After Qur'an, ʿAqīdah, Fiqh, Ḥadīth, Arabic or Duʿā work, enter a mastery percentage and next step.</t>
  </si>
  <si>
    <t>Progress</t>
  </si>
  <si>
    <t>6</t>
  </si>
  <si>
    <t>Record quizzes or formal checks. Enter maximum score and actual score; the percentage and grade calculate automatically.</t>
  </si>
  <si>
    <t>Assessments</t>
  </si>
  <si>
    <t>7</t>
  </si>
  <si>
    <t>Use the Dashboard student dropdown to see live attendance, homework, progress and assessment KPIs.</t>
  </si>
  <si>
    <t>Dashboard</t>
  </si>
  <si>
    <t>8</t>
  </si>
  <si>
    <t>Use filters on each Excel table to focus on a student, topic, date or status.</t>
  </si>
  <si>
    <t>All tracker tabs</t>
  </si>
  <si>
    <t>Current class register. Contact fields are intentionally left blank for you to complete.</t>
  </si>
  <si>
    <t>Student ID</t>
  </si>
  <si>
    <t>Name</t>
  </si>
  <si>
    <t>Parent / Guardian Contact</t>
  </si>
  <si>
    <t>Current Focus</t>
  </si>
  <si>
    <t>Joined</t>
  </si>
  <si>
    <t>STU001</t>
  </si>
  <si>
    <t>Active</t>
  </si>
  <si>
    <t>To set</t>
  </si>
  <si>
    <t>STU002</t>
  </si>
  <si>
    <t>STU003</t>
  </si>
  <si>
    <t>Learning Progress</t>
  </si>
  <si>
    <t>Use mastery scores to track development by topic and over time.</t>
  </si>
  <si>
    <t>Specific Topic / Sūrah</t>
  </si>
  <si>
    <t>Mastery %</t>
  </si>
  <si>
    <t>Murājaʿah Status</t>
  </si>
  <si>
    <t>Teacher Notes</t>
  </si>
  <si>
    <t>Next Step</t>
  </si>
  <si>
    <t>Strong</t>
  </si>
  <si>
    <t>Excellent Read</t>
  </si>
  <si>
    <t>Continue to next page</t>
  </si>
  <si>
    <t>did not read</t>
  </si>
  <si>
    <t>needs revision</t>
  </si>
  <si>
    <t>Weekend Class Plan</t>
  </si>
  <si>
    <t>Reusable 2-hour structure for Saturday / Sunday classes.</t>
  </si>
  <si>
    <t>Day</t>
  </si>
  <si>
    <t>Start</t>
  </si>
  <si>
    <t>End</t>
  </si>
  <si>
    <t>Minutes</t>
  </si>
  <si>
    <t>Core Block</t>
  </si>
  <si>
    <t>Day 2 Advanced Focus</t>
  </si>
  <si>
    <t>Mudhir (11)</t>
  </si>
  <si>
    <t>Nafisa (14)</t>
  </si>
  <si>
    <t>Jameela (16)</t>
  </si>
  <si>
    <t>10:00</t>
  </si>
  <si>
    <t>10:10</t>
  </si>
  <si>
    <t>Opening Duʿā, intentions &amp; reminder</t>
  </si>
  <si>
    <t>Advanced Qur'anic duʿā + sincerity / adab</t>
  </si>
  <si>
    <t>Recall key meaning</t>
  </si>
  <si>
    <t>Explain key vocabulary</t>
  </si>
  <si>
    <t>Explain evidence &amp; application</t>
  </si>
  <si>
    <t>10:40</t>
  </si>
  <si>
    <t>Stronger fluency, tajwīd correction and random-start testing</t>
  </si>
  <si>
    <t>Shorter passage, accuracy</t>
  </si>
  <si>
    <t>Longer passage + rules</t>
  </si>
  <si>
    <t>Longer passage + self-correction</t>
  </si>
  <si>
    <t>11:05</t>
  </si>
  <si>
    <t>Qur'an – New Hifdh / Tajwīd</t>
  </si>
  <si>
    <t>New memorisation + applied tajwīd</t>
  </si>
  <si>
    <t>Small portion</t>
  </si>
  <si>
    <t>Moderate portion</t>
  </si>
  <si>
    <t>Larger portion + rule explanation</t>
  </si>
  <si>
    <t>11:30</t>
  </si>
  <si>
    <t>ʿAqīdah</t>
  </si>
  <si>
    <t>Tawḥīd: worship, evidence, avoiding shirk and following revelation</t>
  </si>
  <si>
    <t>Simple definitions</t>
  </si>
  <si>
    <t>Definitions + examples</t>
  </si>
  <si>
    <t>Evidence + scenarios</t>
  </si>
  <si>
    <t>11:50</t>
  </si>
  <si>
    <t>Arabic / Islamic vocabulary</t>
  </si>
  <si>
    <t>Qur'anic vocabulary, roots and sentence meaning</t>
  </si>
  <si>
    <t>5 words</t>
  </si>
  <si>
    <t>8 words</t>
  </si>
  <si>
    <t>10+ words / roots</t>
  </si>
  <si>
    <t>12:00</t>
  </si>
  <si>
    <t>Murājaʿah &amp; questions</t>
  </si>
  <si>
    <t>Retrieval quiz + one action point</t>
  </si>
  <si>
    <t>3 questions</t>
  </si>
  <si>
    <t>5 questions</t>
  </si>
  <si>
    <t>Explain one answer fully</t>
  </si>
  <si>
    <t>Advanced duʿā with meaning and when to use it</t>
  </si>
  <si>
    <t>Memorise line</t>
  </si>
  <si>
    <t>Meaning + use</t>
  </si>
  <si>
    <t>Evidence + reflection</t>
  </si>
  <si>
    <t>Cumulative revision</t>
  </si>
  <si>
    <t>Accuracy</t>
  </si>
  <si>
    <t>Fluency + tajwīd</t>
  </si>
  <si>
    <t>Fluency + independent correction</t>
  </si>
  <si>
    <t>New memorisation + tajwīd</t>
  </si>
  <si>
    <t>Larger portion</t>
  </si>
  <si>
    <t>Ṭahārah / Ṣalāh with evidences and practical cases</t>
  </si>
  <si>
    <t>Basic rulings</t>
  </si>
  <si>
    <t>Rulings + cases</t>
  </si>
  <si>
    <t>Cases + evidence</t>
  </si>
  <si>
    <t>Longer authentic ḥadīth: meaning, lessons and application</t>
  </si>
  <si>
    <t>Main lesson</t>
  </si>
  <si>
    <t>Key lessons</t>
  </si>
  <si>
    <t>Chain/source awareness + applications</t>
  </si>
  <si>
    <t>Weekly recap and assessment</t>
  </si>
  <si>
    <t>Teach-back summary</t>
  </si>
  <si>
    <t>Homework Tracker</t>
  </si>
  <si>
    <t>Assign, monitor and review homework for each student.</t>
  </si>
  <si>
    <t>Assigned Date</t>
  </si>
  <si>
    <t>Task</t>
  </si>
  <si>
    <t>Due Date</t>
  </si>
  <si>
    <t>Score %</t>
  </si>
  <si>
    <t>Feedback</t>
  </si>
  <si>
    <t>Next Action</t>
  </si>
  <si>
    <t>Assessments &amp; Quizzes</t>
  </si>
  <si>
    <t>Score and grade calculations are automatic.</t>
  </si>
  <si>
    <t>Category</t>
  </si>
  <si>
    <t>Max Score</t>
  </si>
  <si>
    <t>Score</t>
  </si>
  <si>
    <t>Percentage</t>
  </si>
  <si>
    <t>Grade</t>
  </si>
  <si>
    <t>Lesson Log</t>
  </si>
  <si>
    <t>Record what was actually taught, not only what was planned.</t>
  </si>
  <si>
    <t>Lesson / Text</t>
  </si>
  <si>
    <t>Learning Objective</t>
  </si>
  <si>
    <t>Evidence of Learning</t>
  </si>
  <si>
    <t>Teacher Reflection</t>
  </si>
  <si>
    <t>Choose a student in B4. Student measures and topic mastery update with the selection.</t>
  </si>
  <si>
    <t>Blank measures mean no scored records. Attendance includes late arrivals.</t>
  </si>
  <si>
    <t>Class comparison</t>
  </si>
  <si>
    <t>Topic area</t>
  </si>
  <si>
    <t>Selected student</t>
  </si>
  <si>
    <t>Attendance status</t>
  </si>
  <si>
    <t>Records</t>
  </si>
  <si>
    <t>Topic mastery uses the selected student's scored entries. Blank topics have no scores yet. Class comparison always shows the whole class.</t>
  </si>
  <si>
    <t>`447-448</t>
  </si>
  <si>
    <t>Secure</t>
  </si>
  <si>
    <t>ok read</t>
  </si>
  <si>
    <t>421-422</t>
  </si>
  <si>
    <t>Very good read</t>
  </si>
  <si>
    <t>545-549</t>
  </si>
  <si>
    <t>-</t>
  </si>
  <si>
    <t>Teacher not well</t>
  </si>
  <si>
    <t>Murajah only</t>
  </si>
  <si>
    <t>Murajaah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</si>
</sst>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2">
    <font>
      <sz val="11"/>
      <name val="Carlito"/>
    </font>
    <font>
      <b/>
      <sz val="11"/>
      <color rgb="FF24374B"/>
      <name val="Arial"/>
    </font>
    <font>
      <sz val="11"/>
      <color rgb="FF24374B"/>
      <name val="Arial"/>
    </font>
    <font>
      <b/>
      <sz val="21"/>
      <color rgb="FF24374B"/>
      <name val="Arial"/>
    </font>
    <font>
      <i/>
      <sz val="10"/>
      <color rgb="FF62748A"/>
      <name val="Arial"/>
    </font>
    <font>
      <b/>
      <sz val="11"/>
      <color rgb="FFFFFFFF"/>
      <name val="Arial"/>
    </font>
    <font>
      <b/>
      <sz val="12"/>
      <color rgb="FF356BA2"/>
      <name val="Arial"/>
    </font>
    <font>
      <b/>
      <sz val="10"/>
      <color rgb="FFFFFFFF"/>
      <name val="Arial"/>
    </font>
    <font>
      <b/>
      <sz val="20"/>
      <color rgb="FF24374B"/>
      <name val="Arial"/>
    </font>
    <font>
      <sz val="10"/>
      <color rgb="FF62748A"/>
      <name val="Arial"/>
    </font>
    <font>
      <b/>
      <sz val="13"/>
      <color rgb="FF24374B"/>
      <name val="Arial"/>
    </font>
    <font>
      <sz val="10"/>
      <color rgb="FF24374B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4374B"/>
      </patternFill>
    </fill>
    <fill>
      <patternFill patternType="solid">
        <fgColor rgb="FFF2F5F9"/>
      </patternFill>
    </fill>
    <fill>
      <patternFill patternType="solid">
        <fgColor rgb="FFFFF0C2"/>
      </patternFill>
    </fill>
    <fill>
      <patternFill patternType="solid">
        <fgColor rgb="FFEAF0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9" fontId="2" fillId="2" borderId="5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20" fontId="2" fillId="2" borderId="5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20" fontId="2" fillId="2" borderId="8" xfId="0" applyNumberFormat="1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20" fontId="2" fillId="4" borderId="5" xfId="0" applyNumberFormat="1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164" fontId="2" fillId="4" borderId="4" xfId="0" applyNumberFormat="1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vertical="center" wrapText="1"/>
    </xf>
    <xf numFmtId="164" fontId="2" fillId="2" borderId="7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49" fontId="2" fillId="4" borderId="4" xfId="0" applyNumberFormat="1" applyFont="1" applyFill="1" applyBorder="1" applyAlignment="1">
      <alignment vertical="center" wrapText="1"/>
    </xf>
    <xf numFmtId="49" fontId="2" fillId="2" borderId="4" xfId="0" applyNumberFormat="1" applyFont="1" applyFill="1" applyBorder="1" applyAlignment="1">
      <alignment vertical="center" wrapText="1"/>
    </xf>
    <xf numFmtId="49" fontId="2" fillId="2" borderId="7" xfId="0" applyNumberFormat="1" applyFont="1" applyFill="1" applyBorder="1" applyAlignment="1">
      <alignment vertical="center" wrapText="1"/>
    </xf>
    <xf numFmtId="9" fontId="2" fillId="2" borderId="5" xfId="0" applyNumberFormat="1" applyFont="1" applyFill="1" applyBorder="1" applyAlignment="1">
      <alignment vertical="center" wrapText="1"/>
    </xf>
    <xf numFmtId="9" fontId="2" fillId="2" borderId="8" xfId="0" applyNumberFormat="1" applyFont="1" applyFill="1" applyBorder="1" applyAlignment="1">
      <alignment vertical="center" wrapText="1"/>
    </xf>
    <xf numFmtId="9" fontId="2" fillId="4" borderId="5" xfId="0" applyNumberFormat="1" applyFont="1" applyFill="1" applyBorder="1" applyAlignment="1">
      <alignment vertical="center" wrapText="1"/>
    </xf>
    <xf numFmtId="164" fontId="2" fillId="4" borderId="5" xfId="0" applyNumberFormat="1" applyFont="1" applyFill="1" applyBorder="1" applyAlignment="1">
      <alignment vertical="center" wrapText="1"/>
    </xf>
    <xf numFmtId="164" fontId="2" fillId="2" borderId="5" xfId="0" applyNumberFormat="1" applyFont="1" applyFill="1" applyBorder="1" applyAlignment="1">
      <alignment vertical="center" wrapText="1"/>
    </xf>
    <xf numFmtId="164" fontId="2" fillId="2" borderId="8" xfId="0" applyNumberFormat="1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9" fontId="8" fillId="6" borderId="5" xfId="0" applyNumberFormat="1" applyFont="1" applyFill="1" applyBorder="1" applyAlignment="1">
      <alignment horizontal="center" vertical="center"/>
    </xf>
    <xf numFmtId="1" fontId="8" fillId="6" borderId="5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 wrapText="1"/>
    </xf>
    <xf numFmtId="0" fontId="2" fillId="4" borderId="5" xfId="0" quotePrefix="1" applyFont="1" applyFill="1" applyBorder="1" applyAlignment="1">
      <alignment horizontal="right" vertical="center" wrapText="1"/>
    </xf>
    <xf numFmtId="0" fontId="2" fillId="2" borderId="5" xfId="0" quotePrefix="1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ill>
        <patternFill>
          <bgColor rgb="FFF4CCCC"/>
        </patternFill>
      </fill>
    </dxf>
    <dxf>
      <fill>
        <patternFill>
          <bgColor rgb="FFF7EBC3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7EBC3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7EBC3"/>
        </patternFill>
      </fill>
    </dxf>
    <dxf>
      <fill>
        <patternFill>
          <bgColor rgb="FFD9EAD3"/>
        </patternFill>
      </fill>
    </dxf>
    <dxf>
      <font>
        <b/>
        <color rgb="FF356BA2"/>
      </font>
      <fill>
        <patternFill patternType="solid">
          <bgColor rgb="FFE3EDF8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Class mastery and attendance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Mastery</c:v>
          </c:tx>
          <c:spPr>
            <a:solidFill>
              <a:srgbClr val="356BA2"/>
            </a:solidFill>
          </c:spPr>
          <c:invertIfNegative val="1"/>
          <c:cat>
            <c:strRef>
              <c:f>Dashboard!$A$13:$A$15</c:f>
              <c:strCache>
                <c:ptCount val="3"/>
                <c:pt idx="0">
                  <c:v>Mudhir</c:v>
                </c:pt>
                <c:pt idx="1">
                  <c:v>Nafisa</c:v>
                </c:pt>
                <c:pt idx="2">
                  <c:v>Jameela</c:v>
                </c:pt>
              </c:strCache>
            </c:strRef>
          </c:cat>
          <c:val>
            <c:numRef>
              <c:f>Dashboard!$B$13:$B$15</c:f>
              <c:numCache>
                <c:formatCode>0%</c:formatCode>
                <c:ptCount val="3"/>
                <c:pt idx="0">
                  <c:v>0.57500000000000007</c:v>
                </c:pt>
                <c:pt idx="1">
                  <c:v>0.5</c:v>
                </c:pt>
                <c:pt idx="2">
                  <c:v>0.79999999999999993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C81-4D2A-B1C7-5D51FB43EB91}"/>
            </c:ext>
          </c:extLst>
        </c:ser>
        <c:ser>
          <c:idx val="1"/>
          <c:order val="1"/>
          <c:tx>
            <c:v>Attendance</c:v>
          </c:tx>
          <c:spPr>
            <a:solidFill>
              <a:srgbClr val="368477"/>
            </a:solidFill>
          </c:spPr>
          <c:invertIfNegative val="1"/>
          <c:cat>
            <c:strRef>
              <c:f>Dashboard!$A$13:$A$15</c:f>
              <c:strCache>
                <c:ptCount val="3"/>
                <c:pt idx="0">
                  <c:v>Mudhir</c:v>
                </c:pt>
                <c:pt idx="1">
                  <c:v>Nafisa</c:v>
                </c:pt>
                <c:pt idx="2">
                  <c:v>Jameela</c:v>
                </c:pt>
              </c:strCache>
            </c:strRef>
          </c:cat>
          <c:val>
            <c:numRef>
              <c:f>Dashboard!$C$13:$C$15</c:f>
              <c:numCache>
                <c:formatCode>0%</c:formatCode>
                <c:ptCount val="3"/>
                <c:pt idx="0">
                  <c:v>0.875</c:v>
                </c:pt>
                <c:pt idx="1">
                  <c:v>0.75</c:v>
                </c:pt>
                <c:pt idx="2">
                  <c:v>0.875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8C81-4D2A-B1C7-5D51FB43E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Selected student: mastery by topic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Selected student</c:v>
          </c:tx>
          <c:spPr>
            <a:solidFill>
              <a:srgbClr val="356BA2"/>
            </a:solidFill>
          </c:spPr>
          <c:invertIfNegative val="1"/>
          <c:cat>
            <c:strRef>
              <c:f>Dashboard!$A$20:$A$28</c:f>
              <c:strCache>
                <c:ptCount val="9"/>
                <c:pt idx="0">
                  <c:v>Qur'an – Murājaʿah</c:v>
                </c:pt>
                <c:pt idx="1">
                  <c:v>Qur'an – Hifdh / Tajwīd</c:v>
                </c:pt>
                <c:pt idx="2">
                  <c:v>ʿAqīdah / Tawḥīd</c:v>
                </c:pt>
                <c:pt idx="3">
                  <c:v>Fiqh</c:v>
                </c:pt>
                <c:pt idx="4">
                  <c:v>Ḥadīth &amp; Sunnah</c:v>
                </c:pt>
                <c:pt idx="5">
                  <c:v>Arabic / Vocabulary</c:v>
                </c:pt>
                <c:pt idx="6">
                  <c:v>Duʿā / Adhkār</c:v>
                </c:pt>
                <c:pt idx="7">
                  <c:v>Adab / Character</c:v>
                </c:pt>
                <c:pt idx="8">
                  <c:v>Review / Assessment</c:v>
                </c:pt>
              </c:strCache>
            </c:strRef>
          </c:cat>
          <c:val>
            <c:numRef>
              <c:f>Dashboard!$B$20:$B$28</c:f>
              <c:numCache>
                <c:formatCode>0%</c:formatCode>
                <c:ptCount val="9"/>
                <c:pt idx="0">
                  <c:v>0.57500000000000007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58E-4C3E-96D5-8609B0A9B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9</xdr:row>
      <xdr:rowOff>0</xdr:rowOff>
    </xdr:from>
    <xdr:ext cx="6191250" cy="3333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6191250" cy="4191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ttendanceTable" displayName="AttendanceTable" ref="A4:H104" totalsRowShown="0">
  <autoFilter ref="A4:H104" xr:uid="{00000000-000C-0000-FFFF-FFFF00000000}"/>
  <tableColumns count="8">
    <tableColumn id="1" xr3:uid="{00000000-0010-0000-0000-000001000000}" name="Date"/>
    <tableColumn id="2" xr3:uid="{00000000-0010-0000-0000-000002000000}" name="Student"/>
    <tableColumn id="3" xr3:uid="{00000000-0010-0000-0000-000003000000}" name="Session"/>
    <tableColumn id="4" xr3:uid="{00000000-0010-0000-0000-000004000000}" name="Status"/>
    <tableColumn id="5" xr3:uid="{00000000-0010-0000-0000-000005000000}" name="Arrival Time"/>
    <tableColumn id="6" xr3:uid="{00000000-0010-0000-0000-000006000000}" name="Participation (1–5)"/>
    <tableColumn id="7" xr3:uid="{00000000-0010-0000-0000-000007000000}" name="Adab / Conduct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tudentsTable" displayName="StudentsTable" ref="A4:H50" totalsRowShown="0">
  <tableColumns count="8">
    <tableColumn id="1" xr3:uid="{00000000-0010-0000-0100-000001000000}" name="Student ID"/>
    <tableColumn id="2" xr3:uid="{00000000-0010-0000-0100-000002000000}" name="Name"/>
    <tableColumn id="3" xr3:uid="{00000000-0010-0000-0100-000003000000}" name="Age"/>
    <tableColumn id="4" xr3:uid="{00000000-0010-0000-0100-000004000000}" name="Status"/>
    <tableColumn id="5" xr3:uid="{00000000-0010-0000-0100-000005000000}" name="Parent / Guardian Contact"/>
    <tableColumn id="6" xr3:uid="{00000000-0010-0000-0100-000006000000}" name="Current Focus"/>
    <tableColumn id="7" xr3:uid="{00000000-0010-0000-0100-000007000000}" name="Joined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essonLogTable" displayName="LessonLogTable" ref="A4:J104" totalsRowShown="0">
  <tableColumns count="10">
    <tableColumn id="1" xr3:uid="{00000000-0010-0000-0600-000001000000}" name="Date"/>
    <tableColumn id="2" xr3:uid="{00000000-0010-0000-0600-000002000000}" name="Session"/>
    <tableColumn id="3" xr3:uid="{00000000-0010-0000-0600-000003000000}" name="Start"/>
    <tableColumn id="4" xr3:uid="{00000000-0010-0000-0600-000004000000}" name="End"/>
    <tableColumn id="5" xr3:uid="{00000000-0010-0000-0600-000005000000}" name="Topic Area"/>
    <tableColumn id="6" xr3:uid="{00000000-0010-0000-0600-000006000000}" name="Lesson / Text"/>
    <tableColumn id="7" xr3:uid="{00000000-0010-0000-0600-000007000000}" name="Learning Objective"/>
    <tableColumn id="8" xr3:uid="{00000000-0010-0000-0600-000008000000}" name="Evidence of Learning"/>
    <tableColumn id="9" xr3:uid="{00000000-0010-0000-0600-000009000000}" name="Completed"/>
    <tableColumn id="10" xr3:uid="{00000000-0010-0000-0600-00000A000000}" name="Teacher Refle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rogressTable" displayName="ProgressTable" ref="A4:I204" totalsRowShown="0" headerRowDxfId="12">
  <autoFilter ref="A4:I204" xr:uid="{00000000-000C-0000-FFFF-FFFF02000000}"/>
  <tableColumns count="9">
    <tableColumn id="1" xr3:uid="{00000000-0010-0000-0200-000001000000}" name="Date"/>
    <tableColumn id="2" xr3:uid="{00000000-0010-0000-0200-000002000000}" name="Student"/>
    <tableColumn id="3" xr3:uid="{00000000-0010-0000-0200-000003000000}" name="Topic Area"/>
    <tableColumn id="4" xr3:uid="{00000000-0010-0000-0200-000004000000}" name="Specific Topic / Sūrah"/>
    <tableColumn id="5" xr3:uid="{00000000-0010-0000-0200-000005000000}" name="Mastery %"/>
    <tableColumn id="6" xr3:uid="{00000000-0010-0000-0200-000006000000}" name="Confidence"/>
    <tableColumn id="7" xr3:uid="{00000000-0010-0000-0200-000007000000}" name="Murājaʿah Status"/>
    <tableColumn id="8" xr3:uid="{00000000-0010-0000-0200-000008000000}" name="Teacher Notes"/>
    <tableColumn id="9" xr3:uid="{00000000-0010-0000-0200-000009000000}" name="Next Ste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ClassPlanTable" displayName="ClassPlanTable" ref="A4:J16" totalsRowShown="0">
  <tableColumns count="10">
    <tableColumn id="1" xr3:uid="{00000000-0010-0000-0300-000001000000}" name="Day"/>
    <tableColumn id="2" xr3:uid="{00000000-0010-0000-0300-000002000000}" name="Start"/>
    <tableColumn id="3" xr3:uid="{00000000-0010-0000-0300-000003000000}" name="End"/>
    <tableColumn id="4" xr3:uid="{00000000-0010-0000-0300-000004000000}" name="Minutes"/>
    <tableColumn id="5" xr3:uid="{00000000-0010-0000-0300-000005000000}" name="Core Block"/>
    <tableColumn id="6" xr3:uid="{00000000-0010-0000-0300-000006000000}" name="Day 2 Advanced Focus"/>
    <tableColumn id="7" xr3:uid="{00000000-0010-0000-0300-000007000000}" name="Mudhir (11)"/>
    <tableColumn id="8" xr3:uid="{00000000-0010-0000-0300-000008000000}" name="Nafisa (14)"/>
    <tableColumn id="9" xr3:uid="{00000000-0010-0000-0300-000009000000}" name="Jameela (16)"/>
    <tableColumn id="10" xr3:uid="{00000000-0010-0000-0300-00000A000000}" name="Teacher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HomeworkTable" displayName="HomeworkTable" ref="A4:I104" totalsRowShown="0">
  <tableColumns count="9">
    <tableColumn id="1" xr3:uid="{00000000-0010-0000-0400-000001000000}" name="Assigned Date"/>
    <tableColumn id="2" xr3:uid="{00000000-0010-0000-0400-000002000000}" name="Student"/>
    <tableColumn id="3" xr3:uid="{00000000-0010-0000-0400-000003000000}" name="Task"/>
    <tableColumn id="4" xr3:uid="{00000000-0010-0000-0400-000004000000}" name="Topic Area"/>
    <tableColumn id="5" xr3:uid="{00000000-0010-0000-0400-000005000000}" name="Due Date"/>
    <tableColumn id="6" xr3:uid="{00000000-0010-0000-0400-000006000000}" name="Status"/>
    <tableColumn id="7" xr3:uid="{00000000-0010-0000-0400-000007000000}" name="Score %"/>
    <tableColumn id="8" xr3:uid="{00000000-0010-0000-0400-000008000000}" name="Feedback"/>
    <tableColumn id="9" xr3:uid="{00000000-0010-0000-0400-000009000000}" name="Next 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ssessmentTable" displayName="AssessmentTable" ref="A4:I104" totalsRowShown="0">
  <tableColumns count="9">
    <tableColumn id="1" xr3:uid="{00000000-0010-0000-0500-000001000000}" name="Date"/>
    <tableColumn id="2" xr3:uid="{00000000-0010-0000-0500-000002000000}" name="Student"/>
    <tableColumn id="3" xr3:uid="{00000000-0010-0000-0500-000003000000}" name="Assessment"/>
    <tableColumn id="4" xr3:uid="{00000000-0010-0000-0500-000004000000}" name="Category"/>
    <tableColumn id="5" xr3:uid="{00000000-0010-0000-0500-000005000000}" name="Max Score"/>
    <tableColumn id="6" xr3:uid="{00000000-0010-0000-0500-000006000000}" name="Score"/>
    <tableColumn id="7" xr3:uid="{00000000-0010-0000-0500-000007000000}" name="Percentage"/>
    <tableColumn id="8" xr3:uid="{00000000-0010-0000-0500-000008000000}" name="Grade"/>
    <tableColumn id="9" xr3:uid="{00000000-0010-0000-0500-00000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56BA2"/>
  </sheetPr>
  <dimension ref="A1:N45"/>
  <sheetViews>
    <sheetView showGridLines="0" zoomScale="80" zoomScaleNormal="80" workbookViewId="0">
      <selection sqref="A1:N1"/>
    </sheetView>
  </sheetViews>
  <sheetFormatPr defaultRowHeight="13.8"/>
  <cols>
    <col min="1" max="1" width="31" customWidth="1"/>
    <col min="2" max="2" width="22" customWidth="1"/>
    <col min="3" max="3" width="13" customWidth="1"/>
    <col min="4" max="4" width="16.234375" bestFit="1" customWidth="1"/>
    <col min="5" max="14" width="13" customWidth="1"/>
  </cols>
  <sheetData>
    <row r="1" spans="1:14" ht="38.1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30" customHeight="1">
      <c r="A2" s="63" t="s">
        <v>197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2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24.6">
      <c r="A4" s="48" t="s">
        <v>1</v>
      </c>
      <c r="B4" s="49" t="s">
        <v>32</v>
      </c>
      <c r="C4" s="46"/>
      <c r="D4" s="50" t="s">
        <v>2</v>
      </c>
      <c r="E4" s="50" t="s">
        <v>3</v>
      </c>
      <c r="F4" s="50" t="s">
        <v>4</v>
      </c>
      <c r="G4" s="50" t="s">
        <v>5</v>
      </c>
      <c r="H4" s="50" t="s">
        <v>6</v>
      </c>
      <c r="I4" s="50" t="s">
        <v>7</v>
      </c>
      <c r="J4" s="46"/>
      <c r="K4" s="46"/>
      <c r="L4" s="46"/>
      <c r="M4" s="46"/>
      <c r="N4" s="47"/>
    </row>
    <row r="5" spans="1:14" ht="25.2">
      <c r="A5" s="2"/>
      <c r="B5" s="3"/>
      <c r="C5" s="3"/>
      <c r="D5" s="51">
        <f>IF(COUNTIF(AttendanceTable[Student],$B$4)=0,"",(COUNTIFS(AttendanceTable[Student],$B$4,AttendanceTable[Status],"Present")+COUNTIFS(AttendanceTable[Student],$B$4,AttendanceTable[Status],"Late"))/COUNTIF(AttendanceTable[Student],$B$4))</f>
        <v>0.875</v>
      </c>
      <c r="E5" s="51" t="str">
        <f>IF(COUNTIF(HomeworkTable[Student],$B$4)=0,"",COUNTIFS(HomeworkTable[Student],$B$4,HomeworkTable[Status],"Completed")/COUNTIF(HomeworkTable[Student],$B$4))</f>
        <v/>
      </c>
      <c r="F5" s="51">
        <f>IF(COUNTIFS(ProgressTable[Student],$B$4,ProgressTable[Mastery %],"&lt;&gt;")=0,"",AVERAGEIF(ProgressTable[Student],$B$4,ProgressTable[Mastery %]))</f>
        <v>0.57500000000000007</v>
      </c>
      <c r="G5" s="51" t="str">
        <f>IF(COUNTIFS(AssessmentTable[Student],$B$4,AssessmentTable[Percentage],"&lt;&gt;")=0,"",AVERAGEIF(AssessmentTable[Student],$B$4,AssessmentTable[Percentage]))</f>
        <v/>
      </c>
      <c r="H5" s="52">
        <f>COUNTIF(AttendanceTable[Student],$B$4)</f>
        <v>8</v>
      </c>
      <c r="I5" s="52">
        <f>COUNTIF(ProgressTable[Student],$B$4)</f>
        <v>8</v>
      </c>
      <c r="J5" s="3"/>
      <c r="K5" s="3"/>
      <c r="L5" s="3"/>
      <c r="M5" s="3"/>
      <c r="N5" s="4"/>
    </row>
    <row r="6" spans="1:14" ht="14.1">
      <c r="A6" s="15" t="s">
        <v>8</v>
      </c>
      <c r="B6" s="16" t="str">
        <f>B4</f>
        <v>Mudhir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4.1">
      <c r="A7" s="15" t="s">
        <v>9</v>
      </c>
      <c r="B7" s="16">
        <f>IFERROR(VLOOKUP(B4,Students!$B$5:$D$50,2,FALSE),"")</f>
        <v>11</v>
      </c>
      <c r="C7" s="3"/>
      <c r="D7" s="66" t="s">
        <v>198</v>
      </c>
      <c r="E7" s="66"/>
      <c r="F7" s="66"/>
      <c r="G7" s="66"/>
      <c r="H7" s="66"/>
      <c r="I7" s="66"/>
      <c r="J7" s="3"/>
      <c r="K7" s="3"/>
      <c r="L7" s="3"/>
      <c r="M7" s="3"/>
      <c r="N7" s="4"/>
    </row>
    <row r="8" spans="1:14" ht="14.1">
      <c r="A8" s="15" t="s">
        <v>10</v>
      </c>
      <c r="B8" s="16" t="str">
        <f>IFERROR(VLOOKUP(B4,Students!$B$5:$D$50,3,FALSE),"")</f>
        <v>Active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25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25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25" customHeight="1">
      <c r="A11" s="67" t="s">
        <v>199</v>
      </c>
      <c r="B11" s="68"/>
      <c r="C11" s="68"/>
      <c r="D11" s="68"/>
      <c r="E11" s="68"/>
      <c r="F11" s="3"/>
      <c r="G11" s="3"/>
      <c r="H11" s="3"/>
      <c r="I11" s="3"/>
      <c r="J11" s="3"/>
      <c r="K11" s="3"/>
      <c r="L11" s="3"/>
      <c r="M11" s="3"/>
      <c r="N11" s="4"/>
    </row>
    <row r="12" spans="1:14" ht="14.1">
      <c r="A12" s="23" t="s">
        <v>8</v>
      </c>
      <c r="B12" s="10" t="s">
        <v>11</v>
      </c>
      <c r="C12" s="10" t="s">
        <v>12</v>
      </c>
      <c r="D12" s="10" t="s">
        <v>13</v>
      </c>
      <c r="E12" s="10" t="s">
        <v>14</v>
      </c>
      <c r="F12" s="3"/>
      <c r="G12" s="3"/>
      <c r="H12" s="3"/>
      <c r="I12" s="3"/>
      <c r="J12" s="3"/>
      <c r="K12" s="3"/>
      <c r="L12" s="3"/>
      <c r="M12" s="3"/>
      <c r="N12" s="4"/>
    </row>
    <row r="13" spans="1:14">
      <c r="A13" s="2" t="str">
        <f>Students!B5</f>
        <v>Mudhir</v>
      </c>
      <c r="B13" s="5">
        <f>IF(COUNTIFS(ProgressTable[Student],A13,ProgressTable[Mastery %],"&lt;&gt;")=0,"",AVERAGEIF(ProgressTable[Student],A13,ProgressTable[Mastery %]))</f>
        <v>0.57500000000000007</v>
      </c>
      <c r="C13" s="5">
        <f>IF(COUNTIF(AttendanceTable[Student],A13)=0,"",(COUNTIFS(AttendanceTable[Student],A13,AttendanceTable[Status],"Present")+COUNTIFS(AttendanceTable[Student],A13,AttendanceTable[Status],"Late"))/COUNTIF(AttendanceTable[Student],A13))</f>
        <v>0.875</v>
      </c>
      <c r="D13" s="5" t="str">
        <f>IF(COUNTIF(HomeworkTable[Student],A13)=0,"",COUNTIFS(HomeworkTable[Student],A13,HomeworkTable[Status],"Completed")/COUNTIF(HomeworkTable[Student],A13))</f>
        <v/>
      </c>
      <c r="E13" s="5" t="str">
        <f>IF(COUNTIFS(AssessmentTable[Student],A13,AssessmentTable[Percentage],"&lt;&gt;")=0,"",AVERAGEIF(AssessmentTable[Student],A13,AssessmentTable[Percentage]))</f>
        <v/>
      </c>
      <c r="F13" s="3"/>
      <c r="G13" s="3"/>
      <c r="H13" s="3"/>
      <c r="I13" s="3"/>
      <c r="J13" s="3"/>
      <c r="K13" s="3"/>
      <c r="L13" s="3"/>
      <c r="M13" s="3"/>
      <c r="N13" s="4"/>
    </row>
    <row r="14" spans="1:14">
      <c r="A14" s="2" t="str">
        <f>Students!B6</f>
        <v>Nafisa</v>
      </c>
      <c r="B14" s="5">
        <f>IF(COUNTIFS(ProgressTable[Student],A14,ProgressTable[Mastery %],"&lt;&gt;")=0,"",AVERAGEIF(ProgressTable[Student],A14,ProgressTable[Mastery %]))</f>
        <v>0.5</v>
      </c>
      <c r="C14" s="5">
        <f>IF(COUNTIF(AttendanceTable[Student],A14)=0,"",(COUNTIFS(AttendanceTable[Student],A14,AttendanceTable[Status],"Present")+COUNTIFS(AttendanceTable[Student],A14,AttendanceTable[Status],"Late"))/COUNTIF(AttendanceTable[Student],A14))</f>
        <v>0.75</v>
      </c>
      <c r="D14" s="5" t="str">
        <f>IF(COUNTIF(HomeworkTable[Student],A14)=0,"",COUNTIFS(HomeworkTable[Student],A14,HomeworkTable[Status],"Completed")/COUNTIF(HomeworkTable[Student],A14))</f>
        <v/>
      </c>
      <c r="E14" s="5" t="str">
        <f>IF(COUNTIFS(AssessmentTable[Student],A14,AssessmentTable[Percentage],"&lt;&gt;")=0,"",AVERAGEIF(AssessmentTable[Student],A14,AssessmentTable[Percentage]))</f>
        <v/>
      </c>
      <c r="F14" s="3"/>
      <c r="G14" s="3"/>
      <c r="H14" s="3"/>
      <c r="I14" s="3"/>
      <c r="J14" s="3"/>
      <c r="K14" s="3"/>
      <c r="L14" s="3"/>
      <c r="M14" s="3"/>
      <c r="N14" s="4"/>
    </row>
    <row r="15" spans="1:14">
      <c r="A15" s="2" t="str">
        <f>Students!B7</f>
        <v>Jameela</v>
      </c>
      <c r="B15" s="5">
        <f>IF(COUNTIFS(ProgressTable[Student],A15,ProgressTable[Mastery %],"&lt;&gt;")=0,"",AVERAGEIF(ProgressTable[Student],A15,ProgressTable[Mastery %]))</f>
        <v>0.79999999999999993</v>
      </c>
      <c r="C15" s="5">
        <f>IF(COUNTIF(AttendanceTable[Student],A15)=0,"",(COUNTIFS(AttendanceTable[Student],A15,AttendanceTable[Status],"Present")+COUNTIFS(AttendanceTable[Student],A15,AttendanceTable[Status],"Late"))/COUNTIF(AttendanceTable[Student],A15))</f>
        <v>0.875</v>
      </c>
      <c r="D15" s="5" t="str">
        <f>IF(COUNTIF(HomeworkTable[Student],A15)=0,"",COUNTIFS(HomeworkTable[Student],A15,HomeworkTable[Status],"Completed")/COUNTIF(HomeworkTable[Student],A15))</f>
        <v/>
      </c>
      <c r="E15" s="5" t="str">
        <f>IF(COUNTIFS(AssessmentTable[Student],A15,AssessmentTable[Percentage],"&lt;&gt;")=0,"",AVERAGEIF(AssessmentTable[Student],A15,AssessmentTable[Percentage]))</f>
        <v/>
      </c>
      <c r="F15" s="3"/>
      <c r="G15" s="3"/>
      <c r="H15" s="3"/>
      <c r="I15" s="3"/>
      <c r="J15" s="3"/>
      <c r="K15" s="3"/>
      <c r="L15" s="3"/>
      <c r="M15" s="3"/>
      <c r="N15" s="4"/>
    </row>
    <row r="16" spans="1:14" ht="2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</row>
    <row r="17" spans="1:14" ht="2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4"/>
    </row>
    <row r="18" spans="1:14" ht="2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4.1">
      <c r="A19" s="23" t="s">
        <v>200</v>
      </c>
      <c r="B19" s="10" t="s">
        <v>201</v>
      </c>
      <c r="C19" s="3"/>
      <c r="D19" s="9" t="s">
        <v>202</v>
      </c>
      <c r="E19" s="11" t="s">
        <v>203</v>
      </c>
      <c r="F19" s="3"/>
      <c r="G19" s="3"/>
      <c r="H19" s="3"/>
      <c r="I19" s="3"/>
      <c r="J19" s="3"/>
      <c r="K19" s="3"/>
      <c r="L19" s="3"/>
      <c r="M19" s="3"/>
      <c r="N19" s="4"/>
    </row>
    <row r="20" spans="1:14">
      <c r="A20" s="31" t="s">
        <v>15</v>
      </c>
      <c r="B20" s="5">
        <f>IF(COUNTIFS(ProgressTable[Student],$B$4,ProgressTable[Topic Area],A20,ProgressTable[Mastery %],"&lt;&gt;")=0,"",SUMIFS(ProgressTable[Mastery %],ProgressTable[Student],$B$4,ProgressTable[Topic Area],A20)/COUNTIFS(ProgressTable[Student],$B$4,ProgressTable[Topic Area],A20,ProgressTable[Mastery %],"&lt;&gt;"))</f>
        <v>0.57500000000000007</v>
      </c>
      <c r="C20" s="3"/>
      <c r="D20" s="53" t="s">
        <v>34</v>
      </c>
      <c r="E20" s="3">
        <f>COUNTIFS(AttendanceTable[Student],$B$4,AttendanceTable[Status],D20)</f>
        <v>7</v>
      </c>
      <c r="F20" s="3"/>
      <c r="G20" s="3"/>
      <c r="H20" s="3"/>
      <c r="I20" s="3"/>
      <c r="J20" s="3"/>
      <c r="K20" s="3"/>
      <c r="L20" s="3"/>
      <c r="M20" s="3"/>
      <c r="N20" s="4"/>
    </row>
    <row r="21" spans="1:14">
      <c r="A21" s="31" t="s">
        <v>16</v>
      </c>
      <c r="B21" s="5" t="str">
        <f>IF(COUNTIFS(ProgressTable[Student],$B$4,ProgressTable[Topic Area],A21,ProgressTable[Mastery %],"&lt;&gt;")=0,"",SUMIFS(ProgressTable[Mastery %],ProgressTable[Student],$B$4,ProgressTable[Topic Area],A21)/COUNTIFS(ProgressTable[Student],$B$4,ProgressTable[Topic Area],A21,ProgressTable[Mastery %],"&lt;&gt;"))</f>
        <v/>
      </c>
      <c r="C21" s="3"/>
      <c r="D21" s="53" t="s">
        <v>50</v>
      </c>
      <c r="E21" s="3">
        <f>COUNTIFS(AttendanceTable[Student],$B$4,AttendanceTable[Status],D21)</f>
        <v>0</v>
      </c>
      <c r="F21" s="3"/>
      <c r="G21" s="3"/>
      <c r="H21" s="3"/>
      <c r="I21" s="3"/>
      <c r="J21" s="3"/>
      <c r="K21" s="3"/>
      <c r="L21" s="3"/>
      <c r="M21" s="3"/>
      <c r="N21" s="4"/>
    </row>
    <row r="22" spans="1:14">
      <c r="A22" s="31" t="s">
        <v>17</v>
      </c>
      <c r="B22" s="5" t="str">
        <f>IF(COUNTIFS(ProgressTable[Student],$B$4,ProgressTable[Topic Area],A22,ProgressTable[Mastery %],"&lt;&gt;")=0,"",SUMIFS(ProgressTable[Mastery %],ProgressTable[Student],$B$4,ProgressTable[Topic Area],A22)/COUNTIFS(ProgressTable[Student],$B$4,ProgressTable[Topic Area],A22,ProgressTable[Mastery %],"&lt;&gt;"))</f>
        <v/>
      </c>
      <c r="C22" s="3"/>
      <c r="D22" s="53" t="s">
        <v>53</v>
      </c>
      <c r="E22" s="3">
        <f>COUNTIFS(AttendanceTable[Student],$B$4,AttendanceTable[Status],D22)</f>
        <v>0</v>
      </c>
      <c r="F22" s="3"/>
      <c r="G22" s="3"/>
      <c r="H22" s="3"/>
      <c r="I22" s="3"/>
      <c r="J22" s="3"/>
      <c r="K22" s="3"/>
      <c r="L22" s="3"/>
      <c r="M22" s="3"/>
      <c r="N22" s="4"/>
    </row>
    <row r="23" spans="1:14">
      <c r="A23" s="31" t="s">
        <v>18</v>
      </c>
      <c r="B23" s="5" t="str">
        <f>IF(COUNTIFS(ProgressTable[Student],$B$4,ProgressTable[Topic Area],A23,ProgressTable[Mastery %],"&lt;&gt;")=0,"",SUMIFS(ProgressTable[Mastery %],ProgressTable[Student],$B$4,ProgressTable[Topic Area],A23)/COUNTIFS(ProgressTable[Student],$B$4,ProgressTable[Topic Area],A23,ProgressTable[Mastery %],"&lt;&gt;"))</f>
        <v/>
      </c>
      <c r="C23" s="3"/>
      <c r="D23" s="53" t="s">
        <v>57</v>
      </c>
      <c r="E23" s="3">
        <f>COUNTIFS(AttendanceTable[Student],$B$4,AttendanceTable[Status],D23)</f>
        <v>1</v>
      </c>
      <c r="F23" s="3"/>
      <c r="G23" s="3"/>
      <c r="H23" s="3"/>
      <c r="I23" s="3"/>
      <c r="J23" s="3"/>
      <c r="K23" s="3"/>
      <c r="L23" s="3"/>
      <c r="M23" s="3"/>
      <c r="N23" s="4"/>
    </row>
    <row r="24" spans="1:14">
      <c r="A24" s="31" t="s">
        <v>19</v>
      </c>
      <c r="B24" s="5" t="str">
        <f>IF(COUNTIFS(ProgressTable[Student],$B$4,ProgressTable[Topic Area],A24,ProgressTable[Mastery %],"&lt;&gt;")=0,"",SUMIFS(ProgressTable[Mastery %],ProgressTable[Student],$B$4,ProgressTable[Topic Area],A24)/COUNTIFS(ProgressTable[Student],$B$4,ProgressTable[Topic Area],A24,ProgressTable[Mastery %],"&lt;&gt;"))</f>
        <v/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>
      <c r="A25" s="31" t="s">
        <v>20</v>
      </c>
      <c r="B25" s="5" t="str">
        <f>IF(COUNTIFS(ProgressTable[Student],$B$4,ProgressTable[Topic Area],A25,ProgressTable[Mastery %],"&lt;&gt;")=0,"",SUMIFS(ProgressTable[Mastery %],ProgressTable[Student],$B$4,ProgressTable[Topic Area],A25)/COUNTIFS(ProgressTable[Student],$B$4,ProgressTable[Topic Area],A25,ProgressTable[Mastery %],"&lt;&gt;"))</f>
        <v/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>
      <c r="A26" s="31" t="s">
        <v>21</v>
      </c>
      <c r="B26" s="5" t="str">
        <f>IF(COUNTIFS(ProgressTable[Student],$B$4,ProgressTable[Topic Area],A26,ProgressTable[Mastery %],"&lt;&gt;")=0,"",SUMIFS(ProgressTable[Mastery %],ProgressTable[Student],$B$4,ProgressTable[Topic Area],A26)/COUNTIFS(ProgressTable[Student],$B$4,ProgressTable[Topic Area],A26,ProgressTable[Mastery %],"&lt;&gt;"))</f>
        <v/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>
      <c r="A27" s="31" t="s">
        <v>22</v>
      </c>
      <c r="B27" s="5" t="str">
        <f>IF(COUNTIFS(ProgressTable[Student],$B$4,ProgressTable[Topic Area],A27,ProgressTable[Mastery %],"&lt;&gt;")=0,"",SUMIFS(ProgressTable[Mastery %],ProgressTable[Student],$B$4,ProgressTable[Topic Area],A27)/COUNTIFS(ProgressTable[Student],$B$4,ProgressTable[Topic Area],A27,ProgressTable[Mastery %],"&lt;&gt;"))</f>
        <v/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>
      <c r="A28" s="31" t="s">
        <v>23</v>
      </c>
      <c r="B28" s="5" t="str">
        <f>IF(COUNTIFS(ProgressTable[Student],$B$4,ProgressTable[Topic Area],A28,ProgressTable[Mastery %],"&lt;&gt;")=0,"",SUMIFS(ProgressTable[Mastery %],ProgressTable[Student],$B$4,ProgressTable[Topic Area],A28)/COUNTIFS(ProgressTable[Student],$B$4,ProgressTable[Topic Area],A28,ProgressTable[Mastery %],"&lt;&gt;"))</f>
        <v/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>
      <c r="A30" s="69" t="s">
        <v>204</v>
      </c>
      <c r="B30" s="66"/>
      <c r="C30" s="66"/>
      <c r="D30" s="66"/>
      <c r="E30" s="66"/>
      <c r="F30" s="3"/>
      <c r="G30" s="3"/>
      <c r="H30" s="3"/>
      <c r="I30" s="3"/>
      <c r="J30" s="3"/>
      <c r="K30" s="3"/>
      <c r="L30" s="3"/>
      <c r="M30" s="3"/>
      <c r="N30" s="4"/>
    </row>
    <row r="31" spans="1:14">
      <c r="A31" s="69"/>
      <c r="B31" s="66"/>
      <c r="C31" s="66"/>
      <c r="D31" s="66"/>
      <c r="E31" s="66"/>
      <c r="F31" s="3"/>
      <c r="G31" s="3"/>
      <c r="H31" s="3"/>
      <c r="I31" s="3"/>
      <c r="J31" s="3"/>
      <c r="K31" s="3"/>
      <c r="L31" s="3"/>
      <c r="M31" s="3"/>
      <c r="N31" s="4"/>
    </row>
    <row r="32" spans="1:14" ht="2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"/>
    </row>
    <row r="33" spans="1:14" ht="25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"/>
    </row>
    <row r="34" spans="1:14" ht="2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"/>
    </row>
    <row r="35" spans="1:14" ht="25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4"/>
    </row>
    <row r="36" spans="1:14" ht="2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"/>
    </row>
    <row r="37" spans="1:14" ht="2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4"/>
    </row>
    <row r="38" spans="1:14" ht="2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4"/>
    </row>
    <row r="39" spans="1:14" ht="2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4"/>
    </row>
    <row r="40" spans="1:14" ht="2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4"/>
    </row>
    <row r="41" spans="1:14" ht="2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/>
    </row>
    <row r="42" spans="1:14" ht="2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4"/>
    </row>
    <row r="43" spans="1:14" ht="2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"/>
    </row>
    <row r="44" spans="1:14" ht="2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4"/>
    </row>
    <row r="45" spans="1:14" ht="25" customHeight="1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"/>
    </row>
  </sheetData>
  <mergeCells count="5">
    <mergeCell ref="A1:N1"/>
    <mergeCell ref="A2:N2"/>
    <mergeCell ref="D7:I7"/>
    <mergeCell ref="A11:E11"/>
    <mergeCell ref="A30:E31"/>
  </mergeCells>
  <conditionalFormatting sqref="A13:E15">
    <cfRule type="expression" dxfId="11" priority="1">
      <formula>$A13=$B$4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Students!$B$5:$B$50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74B"/>
  </sheetPr>
  <dimension ref="A1:Z250"/>
  <sheetViews>
    <sheetView showGridLines="0" zoomScale="80" zoomScaleNormal="80" workbookViewId="0">
      <pane ySplit="4" topLeftCell="A14" activePane="bottomLeft" state="frozen"/>
      <selection pane="bottomLeft" activeCell="G28" sqref="G28"/>
    </sheetView>
  </sheetViews>
  <sheetFormatPr defaultRowHeight="13.8"/>
  <cols>
    <col min="1" max="1" width="12" bestFit="1" customWidth="1"/>
    <col min="2" max="2" width="13" bestFit="1" customWidth="1"/>
    <col min="3" max="3" width="13.234375" bestFit="1" customWidth="1"/>
    <col min="4" max="4" width="11.85546875" bestFit="1" customWidth="1"/>
    <col min="5" max="5" width="16.76171875" bestFit="1" customWidth="1"/>
    <col min="6" max="6" width="22.47265625" bestFit="1" customWidth="1"/>
    <col min="7" max="7" width="19.47265625" bestFit="1" customWidth="1"/>
    <col min="8" max="8" width="38.234375" bestFit="1" customWidth="1"/>
  </cols>
  <sheetData>
    <row r="1" spans="1:26" ht="38.1" customHeight="1">
      <c r="A1" s="60" t="s">
        <v>24</v>
      </c>
      <c r="B1" s="61"/>
      <c r="C1" s="61"/>
      <c r="D1" s="61"/>
      <c r="E1" s="61"/>
      <c r="F1" s="61"/>
      <c r="G1" s="61"/>
      <c r="H1" s="62"/>
    </row>
    <row r="2" spans="1:26" ht="30" customHeight="1">
      <c r="A2" s="63" t="s">
        <v>25</v>
      </c>
      <c r="B2" s="64"/>
      <c r="C2" s="64"/>
      <c r="D2" s="64"/>
      <c r="E2" s="64"/>
      <c r="F2" s="64"/>
      <c r="G2" s="64"/>
      <c r="H2" s="65"/>
    </row>
    <row r="3" spans="1:26" ht="25" customHeight="1">
      <c r="A3" s="2"/>
      <c r="B3" s="3"/>
      <c r="C3" s="3"/>
      <c r="D3" s="3"/>
      <c r="E3" s="3"/>
      <c r="F3" s="3"/>
      <c r="G3" s="3"/>
      <c r="H3" s="4"/>
    </row>
    <row r="4" spans="1:26" ht="14.1">
      <c r="A4" s="23" t="s">
        <v>26</v>
      </c>
      <c r="B4" s="10" t="s">
        <v>8</v>
      </c>
      <c r="C4" s="10" t="s">
        <v>27</v>
      </c>
      <c r="D4" s="10" t="s">
        <v>10</v>
      </c>
      <c r="E4" s="10" t="s">
        <v>28</v>
      </c>
      <c r="F4" s="10" t="s">
        <v>29</v>
      </c>
      <c r="G4" s="10" t="s">
        <v>30</v>
      </c>
      <c r="H4" s="24" t="s">
        <v>31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8">
        <v>46271</v>
      </c>
      <c r="B5" s="25" t="s">
        <v>32</v>
      </c>
      <c r="C5" s="25" t="s">
        <v>33</v>
      </c>
      <c r="D5" s="25" t="s">
        <v>34</v>
      </c>
      <c r="E5" s="26">
        <v>0.45833333333333331</v>
      </c>
      <c r="F5" s="25">
        <v>5</v>
      </c>
      <c r="G5" s="25" t="s">
        <v>35</v>
      </c>
      <c r="H5" s="27" t="s">
        <v>36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9">
        <v>46271</v>
      </c>
      <c r="B6" s="17" t="s">
        <v>37</v>
      </c>
      <c r="C6" s="17" t="s">
        <v>33</v>
      </c>
      <c r="D6" s="17" t="s">
        <v>34</v>
      </c>
      <c r="E6" s="18">
        <v>0.45902777777777776</v>
      </c>
      <c r="F6" s="17">
        <v>5</v>
      </c>
      <c r="G6" s="17" t="s">
        <v>35</v>
      </c>
      <c r="H6" s="19" t="s">
        <v>36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8">
        <v>46271</v>
      </c>
      <c r="B7" s="25" t="s">
        <v>38</v>
      </c>
      <c r="C7" s="25" t="s">
        <v>33</v>
      </c>
      <c r="D7" s="25" t="s">
        <v>34</v>
      </c>
      <c r="E7" s="26">
        <v>0.4597222222222222</v>
      </c>
      <c r="F7" s="25">
        <v>5</v>
      </c>
      <c r="G7" s="25" t="s">
        <v>39</v>
      </c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9">
        <v>46277</v>
      </c>
      <c r="B8" s="17" t="s">
        <v>32</v>
      </c>
      <c r="C8" s="17" t="s">
        <v>47</v>
      </c>
      <c r="D8" s="17" t="s">
        <v>34</v>
      </c>
      <c r="E8" s="18">
        <v>0.47986111111111113</v>
      </c>
      <c r="F8" s="17">
        <v>5</v>
      </c>
      <c r="G8" s="17"/>
      <c r="H8" s="1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9">
        <v>46277</v>
      </c>
      <c r="B9" s="25" t="s">
        <v>37</v>
      </c>
      <c r="C9" s="25" t="s">
        <v>47</v>
      </c>
      <c r="D9" s="25" t="s">
        <v>34</v>
      </c>
      <c r="E9" s="26">
        <v>0.47986111111111113</v>
      </c>
      <c r="F9" s="25">
        <v>5</v>
      </c>
      <c r="G9" s="25"/>
      <c r="H9" s="2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9">
        <v>46277</v>
      </c>
      <c r="B10" s="17" t="s">
        <v>38</v>
      </c>
      <c r="C10" s="17" t="s">
        <v>47</v>
      </c>
      <c r="D10" s="17" t="s">
        <v>34</v>
      </c>
      <c r="E10" s="18">
        <v>0.47986111111111113</v>
      </c>
      <c r="F10" s="17">
        <v>5</v>
      </c>
      <c r="G10" s="17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" customHeight="1">
      <c r="A11" s="29">
        <v>46278</v>
      </c>
      <c r="B11" s="25" t="s">
        <v>38</v>
      </c>
      <c r="C11" s="25" t="s">
        <v>33</v>
      </c>
      <c r="D11" s="25" t="s">
        <v>34</v>
      </c>
      <c r="E11" s="26">
        <v>0.52361111111111114</v>
      </c>
      <c r="F11" s="25">
        <v>5</v>
      </c>
      <c r="G11" s="25"/>
      <c r="H11" s="2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>
      <c r="A12" s="29">
        <v>46278</v>
      </c>
      <c r="B12" s="17" t="s">
        <v>32</v>
      </c>
      <c r="C12" s="17" t="s">
        <v>33</v>
      </c>
      <c r="D12" s="17" t="s">
        <v>34</v>
      </c>
      <c r="E12" s="18">
        <v>0.52361111111111114</v>
      </c>
      <c r="F12" s="17">
        <v>5</v>
      </c>
      <c r="G12" s="17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>
      <c r="A13" s="29">
        <v>46278</v>
      </c>
      <c r="B13" s="25" t="s">
        <v>37</v>
      </c>
      <c r="C13" s="25" t="s">
        <v>33</v>
      </c>
      <c r="D13" s="25" t="s">
        <v>34</v>
      </c>
      <c r="E13" s="26">
        <v>0.52361111111111114</v>
      </c>
      <c r="F13" s="25">
        <v>5</v>
      </c>
      <c r="G13" s="25"/>
      <c r="H13" s="2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" customHeight="1">
      <c r="A14" s="29">
        <v>46284</v>
      </c>
      <c r="B14" s="17" t="s">
        <v>38</v>
      </c>
      <c r="C14" s="17" t="s">
        <v>47</v>
      </c>
      <c r="D14" s="17" t="s">
        <v>34</v>
      </c>
      <c r="E14" s="18">
        <v>0.47708333333333336</v>
      </c>
      <c r="F14" s="17">
        <v>4</v>
      </c>
      <c r="G14" s="17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" customHeight="1">
      <c r="A15" s="28">
        <v>46284</v>
      </c>
      <c r="B15" s="25" t="s">
        <v>37</v>
      </c>
      <c r="C15" s="25" t="s">
        <v>47</v>
      </c>
      <c r="D15" s="25" t="s">
        <v>53</v>
      </c>
      <c r="E15" s="26">
        <v>0</v>
      </c>
      <c r="F15" s="25">
        <v>0</v>
      </c>
      <c r="G15" s="25"/>
      <c r="H15" s="2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>
      <c r="A16" s="29">
        <v>46284</v>
      </c>
      <c r="B16" s="17" t="s">
        <v>32</v>
      </c>
      <c r="C16" s="17" t="s">
        <v>47</v>
      </c>
      <c r="D16" s="17" t="s">
        <v>34</v>
      </c>
      <c r="E16" s="18">
        <v>0.47916666666666669</v>
      </c>
      <c r="F16" s="17">
        <v>4</v>
      </c>
      <c r="G16" s="17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" customHeight="1">
      <c r="A17" s="28">
        <v>46285</v>
      </c>
      <c r="B17" s="25" t="s">
        <v>32</v>
      </c>
      <c r="C17" s="25" t="s">
        <v>33</v>
      </c>
      <c r="D17" s="25" t="s">
        <v>34</v>
      </c>
      <c r="E17" s="26">
        <v>0.5</v>
      </c>
      <c r="F17" s="25">
        <v>4</v>
      </c>
      <c r="G17" s="25"/>
      <c r="H17" s="2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" customHeight="1">
      <c r="A18" s="29">
        <v>46285</v>
      </c>
      <c r="B18" s="17" t="s">
        <v>37</v>
      </c>
      <c r="C18" s="17" t="s">
        <v>33</v>
      </c>
      <c r="D18" s="17" t="s">
        <v>34</v>
      </c>
      <c r="E18" s="18">
        <v>0.5</v>
      </c>
      <c r="F18" s="17">
        <v>4</v>
      </c>
      <c r="G18" s="17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" customHeight="1">
      <c r="A19" s="28">
        <v>46285</v>
      </c>
      <c r="B19" s="25" t="s">
        <v>38</v>
      </c>
      <c r="C19" s="25" t="s">
        <v>33</v>
      </c>
      <c r="D19" s="25" t="s">
        <v>34</v>
      </c>
      <c r="E19" s="26">
        <v>0.5</v>
      </c>
      <c r="F19" s="25">
        <v>4</v>
      </c>
      <c r="G19" s="25"/>
      <c r="H19" s="2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" customHeight="1">
      <c r="A20" s="29">
        <v>46291</v>
      </c>
      <c r="B20" s="17" t="s">
        <v>32</v>
      </c>
      <c r="C20" s="17" t="s">
        <v>47</v>
      </c>
      <c r="D20" s="17" t="s">
        <v>57</v>
      </c>
      <c r="E20" s="18"/>
      <c r="F20" s="17"/>
      <c r="G20" s="17" t="s">
        <v>212</v>
      </c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>
      <c r="A21" s="28">
        <v>46291</v>
      </c>
      <c r="B21" s="25" t="s">
        <v>37</v>
      </c>
      <c r="C21" s="25" t="s">
        <v>47</v>
      </c>
      <c r="D21" s="25" t="s">
        <v>57</v>
      </c>
      <c r="E21" s="26"/>
      <c r="F21" s="25"/>
      <c r="G21" s="25" t="s">
        <v>212</v>
      </c>
      <c r="H21" s="2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>
      <c r="A22" s="29">
        <v>46291</v>
      </c>
      <c r="B22" s="17" t="s">
        <v>38</v>
      </c>
      <c r="C22" s="17" t="s">
        <v>47</v>
      </c>
      <c r="D22" s="17" t="s">
        <v>57</v>
      </c>
      <c r="E22" s="18"/>
      <c r="F22" s="17"/>
      <c r="G22" s="17" t="s">
        <v>212</v>
      </c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>
      <c r="A23" s="28">
        <v>46292</v>
      </c>
      <c r="B23" s="25" t="s">
        <v>32</v>
      </c>
      <c r="C23" s="25" t="s">
        <v>33</v>
      </c>
      <c r="D23" s="25" t="s">
        <v>34</v>
      </c>
      <c r="E23" s="26">
        <v>0.52083333333333337</v>
      </c>
      <c r="F23" s="25"/>
      <c r="G23" s="25" t="s">
        <v>213</v>
      </c>
      <c r="H23" s="2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>
      <c r="A24" s="29">
        <v>46292</v>
      </c>
      <c r="B24" s="17" t="s">
        <v>37</v>
      </c>
      <c r="C24" s="17" t="s">
        <v>33</v>
      </c>
      <c r="D24" s="17" t="s">
        <v>34</v>
      </c>
      <c r="E24" s="18">
        <v>0.52083333333333337</v>
      </c>
      <c r="F24" s="17"/>
      <c r="G24" s="17" t="s">
        <v>214</v>
      </c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" customHeight="1">
      <c r="A25" s="28">
        <v>46292</v>
      </c>
      <c r="B25" s="25" t="s">
        <v>38</v>
      </c>
      <c r="C25" s="25" t="s">
        <v>33</v>
      </c>
      <c r="D25" s="25" t="s">
        <v>34</v>
      </c>
      <c r="E25" s="26">
        <v>0.52083333333333337</v>
      </c>
      <c r="F25" s="25"/>
      <c r="G25" s="25" t="s">
        <v>214</v>
      </c>
      <c r="H25" s="2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" customHeight="1">
      <c r="A26" s="29">
        <v>46312</v>
      </c>
      <c r="B26" s="17" t="s">
        <v>37</v>
      </c>
      <c r="C26" s="17" t="s">
        <v>47</v>
      </c>
      <c r="D26" s="17" t="s">
        <v>34</v>
      </c>
      <c r="E26" s="18">
        <v>0.48680555555555555</v>
      </c>
      <c r="F26" s="17"/>
      <c r="G26" s="25" t="s">
        <v>214</v>
      </c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" customHeight="1">
      <c r="A27" s="28">
        <v>46312</v>
      </c>
      <c r="B27" s="25" t="s">
        <v>32</v>
      </c>
      <c r="C27" s="25" t="s">
        <v>47</v>
      </c>
      <c r="D27" s="25" t="s">
        <v>34</v>
      </c>
      <c r="E27" s="26">
        <v>0.48680555555555555</v>
      </c>
      <c r="F27" s="25"/>
      <c r="G27" s="25" t="s">
        <v>214</v>
      </c>
      <c r="H27" s="2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>
      <c r="A28" s="29">
        <v>46312</v>
      </c>
      <c r="B28" s="17" t="s">
        <v>38</v>
      </c>
      <c r="C28" s="17" t="s">
        <v>47</v>
      </c>
      <c r="D28" s="17" t="s">
        <v>34</v>
      </c>
      <c r="E28" s="18">
        <v>0.48680555555555555</v>
      </c>
      <c r="F28" s="17"/>
      <c r="G28" s="25" t="s">
        <v>214</v>
      </c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>
      <c r="A29" s="28"/>
      <c r="B29" s="25"/>
      <c r="C29" s="25"/>
      <c r="D29" s="25"/>
      <c r="E29" s="26"/>
      <c r="F29" s="25"/>
      <c r="G29" s="25"/>
      <c r="H29" s="2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>
      <c r="A30" s="29"/>
      <c r="B30" s="17"/>
      <c r="C30" s="17"/>
      <c r="D30" s="17"/>
      <c r="E30" s="18"/>
      <c r="F30" s="17"/>
      <c r="G30" s="17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" customHeight="1">
      <c r="A31" s="28"/>
      <c r="B31" s="25"/>
      <c r="C31" s="25"/>
      <c r="D31" s="25"/>
      <c r="E31" s="26"/>
      <c r="F31" s="25"/>
      <c r="G31" s="25"/>
      <c r="H31" s="2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" customHeight="1">
      <c r="A32" s="29"/>
      <c r="B32" s="17"/>
      <c r="C32" s="17"/>
      <c r="D32" s="17"/>
      <c r="E32" s="18"/>
      <c r="F32" s="17"/>
      <c r="G32" s="17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>
      <c r="A33" s="28"/>
      <c r="B33" s="25"/>
      <c r="C33" s="25"/>
      <c r="D33" s="25"/>
      <c r="E33" s="26"/>
      <c r="F33" s="25"/>
      <c r="G33" s="25"/>
      <c r="H33" s="2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" customHeight="1">
      <c r="A34" s="29"/>
      <c r="B34" s="17"/>
      <c r="C34" s="17"/>
      <c r="D34" s="17"/>
      <c r="E34" s="18"/>
      <c r="F34" s="17"/>
      <c r="G34" s="17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" customHeight="1">
      <c r="A35" s="28"/>
      <c r="B35" s="25"/>
      <c r="C35" s="25"/>
      <c r="D35" s="25"/>
      <c r="E35" s="26"/>
      <c r="F35" s="25"/>
      <c r="G35" s="25"/>
      <c r="H35" s="2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" customHeight="1">
      <c r="A36" s="29"/>
      <c r="B36" s="17"/>
      <c r="C36" s="17"/>
      <c r="D36" s="17"/>
      <c r="E36" s="18"/>
      <c r="F36" s="17"/>
      <c r="G36" s="17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" customHeight="1">
      <c r="A37" s="28"/>
      <c r="B37" s="25"/>
      <c r="C37" s="25"/>
      <c r="D37" s="25"/>
      <c r="E37" s="26"/>
      <c r="F37" s="25"/>
      <c r="G37" s="25"/>
      <c r="H37" s="2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>
      <c r="A38" s="29"/>
      <c r="B38" s="17"/>
      <c r="C38" s="17"/>
      <c r="D38" s="17"/>
      <c r="E38" s="18"/>
      <c r="F38" s="17"/>
      <c r="G38" s="17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>
      <c r="A39" s="28"/>
      <c r="B39" s="25"/>
      <c r="C39" s="25"/>
      <c r="D39" s="25"/>
      <c r="E39" s="26"/>
      <c r="F39" s="25"/>
      <c r="G39" s="25"/>
      <c r="H39" s="2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>
      <c r="A40" s="29"/>
      <c r="B40" s="17"/>
      <c r="C40" s="17"/>
      <c r="D40" s="17"/>
      <c r="E40" s="18"/>
      <c r="F40" s="17"/>
      <c r="G40" s="17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>
      <c r="A41" s="28"/>
      <c r="B41" s="25"/>
      <c r="C41" s="25"/>
      <c r="D41" s="25"/>
      <c r="E41" s="26"/>
      <c r="F41" s="25"/>
      <c r="G41" s="25"/>
      <c r="H41" s="2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" customHeight="1">
      <c r="A42" s="29"/>
      <c r="B42" s="17"/>
      <c r="C42" s="17"/>
      <c r="D42" s="17"/>
      <c r="E42" s="18"/>
      <c r="F42" s="17"/>
      <c r="G42" s="17"/>
      <c r="H42" s="1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" customHeight="1">
      <c r="A43" s="28"/>
      <c r="B43" s="25"/>
      <c r="C43" s="25"/>
      <c r="D43" s="25"/>
      <c r="E43" s="26"/>
      <c r="F43" s="25"/>
      <c r="G43" s="25"/>
      <c r="H43" s="2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" customHeight="1">
      <c r="A44" s="29"/>
      <c r="B44" s="17"/>
      <c r="C44" s="17"/>
      <c r="D44" s="17"/>
      <c r="E44" s="18"/>
      <c r="F44" s="17"/>
      <c r="G44" s="17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>
      <c r="A45" s="28"/>
      <c r="B45" s="25"/>
      <c r="C45" s="25"/>
      <c r="D45" s="25"/>
      <c r="E45" s="26"/>
      <c r="F45" s="25"/>
      <c r="G45" s="25"/>
      <c r="H45" s="2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>
      <c r="A46" s="29"/>
      <c r="B46" s="17"/>
      <c r="C46" s="17"/>
      <c r="D46" s="17"/>
      <c r="E46" s="18"/>
      <c r="F46" s="17"/>
      <c r="G46" s="17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>
      <c r="A47" s="28"/>
      <c r="B47" s="25"/>
      <c r="C47" s="25"/>
      <c r="D47" s="25"/>
      <c r="E47" s="26"/>
      <c r="F47" s="25"/>
      <c r="G47" s="25"/>
      <c r="H47" s="2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" customHeight="1">
      <c r="A48" s="29"/>
      <c r="B48" s="17"/>
      <c r="C48" s="17"/>
      <c r="D48" s="17"/>
      <c r="E48" s="18"/>
      <c r="F48" s="17"/>
      <c r="G48" s="17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" customHeight="1">
      <c r="A49" s="28"/>
      <c r="B49" s="25"/>
      <c r="C49" s="25"/>
      <c r="D49" s="25"/>
      <c r="E49" s="26"/>
      <c r="F49" s="25"/>
      <c r="G49" s="25"/>
      <c r="H49" s="2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>
      <c r="A50" s="29"/>
      <c r="B50" s="17"/>
      <c r="C50" s="17"/>
      <c r="D50" s="17"/>
      <c r="E50" s="18"/>
      <c r="F50" s="17"/>
      <c r="G50" s="17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" customHeight="1">
      <c r="A51" s="28"/>
      <c r="B51" s="25"/>
      <c r="C51" s="25"/>
      <c r="D51" s="25"/>
      <c r="E51" s="26"/>
      <c r="F51" s="25"/>
      <c r="G51" s="25"/>
      <c r="H51" s="2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" customHeight="1">
      <c r="A52" s="29"/>
      <c r="B52" s="17"/>
      <c r="C52" s="17"/>
      <c r="D52" s="17"/>
      <c r="E52" s="18"/>
      <c r="F52" s="17"/>
      <c r="G52" s="17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" customHeight="1">
      <c r="A53" s="28"/>
      <c r="B53" s="25"/>
      <c r="C53" s="25"/>
      <c r="D53" s="25"/>
      <c r="E53" s="26"/>
      <c r="F53" s="25"/>
      <c r="G53" s="25"/>
      <c r="H53" s="2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" customHeight="1">
      <c r="A54" s="29"/>
      <c r="B54" s="17"/>
      <c r="C54" s="17"/>
      <c r="D54" s="17"/>
      <c r="E54" s="18"/>
      <c r="F54" s="17"/>
      <c r="G54" s="17"/>
      <c r="H54" s="1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>
      <c r="A55" s="28"/>
      <c r="B55" s="25"/>
      <c r="C55" s="25"/>
      <c r="D55" s="25"/>
      <c r="E55" s="26"/>
      <c r="F55" s="25"/>
      <c r="G55" s="25"/>
      <c r="H55" s="2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>
      <c r="A56" s="29"/>
      <c r="B56" s="17"/>
      <c r="C56" s="17"/>
      <c r="D56" s="17"/>
      <c r="E56" s="18"/>
      <c r="F56" s="17"/>
      <c r="G56" s="17"/>
      <c r="H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>
      <c r="A57" s="28"/>
      <c r="B57" s="25"/>
      <c r="C57" s="25"/>
      <c r="D57" s="25"/>
      <c r="E57" s="26"/>
      <c r="F57" s="25"/>
      <c r="G57" s="25"/>
      <c r="H57" s="2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>
      <c r="A58" s="29"/>
      <c r="B58" s="17"/>
      <c r="C58" s="17"/>
      <c r="D58" s="17"/>
      <c r="E58" s="18"/>
      <c r="F58" s="17"/>
      <c r="G58" s="17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" customHeight="1">
      <c r="A59" s="28"/>
      <c r="B59" s="25"/>
      <c r="C59" s="25"/>
      <c r="D59" s="25"/>
      <c r="E59" s="26"/>
      <c r="F59" s="25"/>
      <c r="G59" s="25"/>
      <c r="H59" s="2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" customHeight="1">
      <c r="A60" s="29"/>
      <c r="B60" s="17"/>
      <c r="C60" s="17"/>
      <c r="D60" s="17"/>
      <c r="E60" s="18"/>
      <c r="F60" s="17"/>
      <c r="G60" s="17"/>
      <c r="H60" s="1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" customHeight="1">
      <c r="A61" s="28"/>
      <c r="B61" s="25"/>
      <c r="C61" s="25"/>
      <c r="D61" s="25"/>
      <c r="E61" s="26"/>
      <c r="F61" s="25"/>
      <c r="G61" s="25"/>
      <c r="H61" s="2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>
      <c r="A62" s="29"/>
      <c r="B62" s="17"/>
      <c r="C62" s="17"/>
      <c r="D62" s="17"/>
      <c r="E62" s="18"/>
      <c r="F62" s="17"/>
      <c r="G62" s="17"/>
      <c r="H62" s="1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" customHeight="1">
      <c r="A63" s="28"/>
      <c r="B63" s="25"/>
      <c r="C63" s="25"/>
      <c r="D63" s="25"/>
      <c r="E63" s="26"/>
      <c r="F63" s="25"/>
      <c r="G63" s="25"/>
      <c r="H63" s="2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" customHeight="1">
      <c r="A64" s="29"/>
      <c r="B64" s="17"/>
      <c r="C64" s="17"/>
      <c r="D64" s="17"/>
      <c r="E64" s="18"/>
      <c r="F64" s="17"/>
      <c r="G64" s="17"/>
      <c r="H64" s="1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" customHeight="1">
      <c r="A65" s="28"/>
      <c r="B65" s="25"/>
      <c r="C65" s="25"/>
      <c r="D65" s="25"/>
      <c r="E65" s="26"/>
      <c r="F65" s="25"/>
      <c r="G65" s="25"/>
      <c r="H65" s="2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" customHeight="1">
      <c r="A66" s="29"/>
      <c r="B66" s="17"/>
      <c r="C66" s="17"/>
      <c r="D66" s="17"/>
      <c r="E66" s="18"/>
      <c r="F66" s="17"/>
      <c r="G66" s="17"/>
      <c r="H66" s="1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" customHeight="1">
      <c r="A67" s="28"/>
      <c r="B67" s="25"/>
      <c r="C67" s="25"/>
      <c r="D67" s="25"/>
      <c r="E67" s="26"/>
      <c r="F67" s="25"/>
      <c r="G67" s="25"/>
      <c r="H67" s="2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" customHeight="1">
      <c r="A68" s="29"/>
      <c r="B68" s="17"/>
      <c r="C68" s="17"/>
      <c r="D68" s="17"/>
      <c r="E68" s="18"/>
      <c r="F68" s="17"/>
      <c r="G68" s="17"/>
      <c r="H68" s="1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" customHeight="1">
      <c r="A69" s="28"/>
      <c r="B69" s="25"/>
      <c r="C69" s="25"/>
      <c r="D69" s="25"/>
      <c r="E69" s="26"/>
      <c r="F69" s="25"/>
      <c r="G69" s="25"/>
      <c r="H69" s="2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" customHeight="1">
      <c r="A70" s="29"/>
      <c r="B70" s="17"/>
      <c r="C70" s="17"/>
      <c r="D70" s="17"/>
      <c r="E70" s="18"/>
      <c r="F70" s="17"/>
      <c r="G70" s="17"/>
      <c r="H70" s="1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" customHeight="1">
      <c r="A71" s="28"/>
      <c r="B71" s="25"/>
      <c r="C71" s="25"/>
      <c r="D71" s="25"/>
      <c r="E71" s="26"/>
      <c r="F71" s="25"/>
      <c r="G71" s="25"/>
      <c r="H71" s="2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" customHeight="1">
      <c r="A72" s="29"/>
      <c r="B72" s="17"/>
      <c r="C72" s="17"/>
      <c r="D72" s="17"/>
      <c r="E72" s="18"/>
      <c r="F72" s="17"/>
      <c r="G72" s="17"/>
      <c r="H72" s="1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" customHeight="1">
      <c r="A73" s="28"/>
      <c r="B73" s="25"/>
      <c r="C73" s="25"/>
      <c r="D73" s="25"/>
      <c r="E73" s="26"/>
      <c r="F73" s="25"/>
      <c r="G73" s="25"/>
      <c r="H73" s="2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" customHeight="1">
      <c r="A74" s="29"/>
      <c r="B74" s="17"/>
      <c r="C74" s="17"/>
      <c r="D74" s="17"/>
      <c r="E74" s="18"/>
      <c r="F74" s="17"/>
      <c r="G74" s="17"/>
      <c r="H74" s="1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" customHeight="1">
      <c r="A75" s="28"/>
      <c r="B75" s="25"/>
      <c r="C75" s="25"/>
      <c r="D75" s="25"/>
      <c r="E75" s="26"/>
      <c r="F75" s="25"/>
      <c r="G75" s="25"/>
      <c r="H75" s="2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" customHeight="1">
      <c r="A76" s="29"/>
      <c r="B76" s="17"/>
      <c r="C76" s="17"/>
      <c r="D76" s="17"/>
      <c r="E76" s="18"/>
      <c r="F76" s="17"/>
      <c r="G76" s="17"/>
      <c r="H76" s="1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" customHeight="1">
      <c r="A77" s="28"/>
      <c r="B77" s="25"/>
      <c r="C77" s="25"/>
      <c r="D77" s="25"/>
      <c r="E77" s="26"/>
      <c r="F77" s="25"/>
      <c r="G77" s="25"/>
      <c r="H77" s="2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" customHeight="1">
      <c r="A78" s="29"/>
      <c r="B78" s="17"/>
      <c r="C78" s="17"/>
      <c r="D78" s="17"/>
      <c r="E78" s="18"/>
      <c r="F78" s="17"/>
      <c r="G78" s="17"/>
      <c r="H78" s="1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" customHeight="1">
      <c r="A79" s="28"/>
      <c r="B79" s="25"/>
      <c r="C79" s="25"/>
      <c r="D79" s="25"/>
      <c r="E79" s="26"/>
      <c r="F79" s="25"/>
      <c r="G79" s="25"/>
      <c r="H79" s="2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" customHeight="1">
      <c r="A80" s="29"/>
      <c r="B80" s="17"/>
      <c r="C80" s="17"/>
      <c r="D80" s="17"/>
      <c r="E80" s="18"/>
      <c r="F80" s="17"/>
      <c r="G80" s="17"/>
      <c r="H80" s="1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" customHeight="1">
      <c r="A81" s="28"/>
      <c r="B81" s="25"/>
      <c r="C81" s="25"/>
      <c r="D81" s="25"/>
      <c r="E81" s="26"/>
      <c r="F81" s="25"/>
      <c r="G81" s="25"/>
      <c r="H81" s="2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" customHeight="1">
      <c r="A82" s="29"/>
      <c r="B82" s="17"/>
      <c r="C82" s="17"/>
      <c r="D82" s="17"/>
      <c r="E82" s="18"/>
      <c r="F82" s="17"/>
      <c r="G82" s="17"/>
      <c r="H82" s="1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" customHeight="1">
      <c r="A83" s="28"/>
      <c r="B83" s="25"/>
      <c r="C83" s="25"/>
      <c r="D83" s="25"/>
      <c r="E83" s="26"/>
      <c r="F83" s="25"/>
      <c r="G83" s="25"/>
      <c r="H83" s="2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" customHeight="1">
      <c r="A84" s="29"/>
      <c r="B84" s="17"/>
      <c r="C84" s="17"/>
      <c r="D84" s="17"/>
      <c r="E84" s="18"/>
      <c r="F84" s="17"/>
      <c r="G84" s="17"/>
      <c r="H84" s="1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" customHeight="1">
      <c r="A85" s="28"/>
      <c r="B85" s="25"/>
      <c r="C85" s="25"/>
      <c r="D85" s="25"/>
      <c r="E85" s="26"/>
      <c r="F85" s="25"/>
      <c r="G85" s="25"/>
      <c r="H85" s="2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" customHeight="1">
      <c r="A86" s="29"/>
      <c r="B86" s="17"/>
      <c r="C86" s="17"/>
      <c r="D86" s="17"/>
      <c r="E86" s="18"/>
      <c r="F86" s="17"/>
      <c r="G86" s="17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" customHeight="1">
      <c r="A87" s="28"/>
      <c r="B87" s="25"/>
      <c r="C87" s="25"/>
      <c r="D87" s="25"/>
      <c r="E87" s="26"/>
      <c r="F87" s="25"/>
      <c r="G87" s="25"/>
      <c r="H87" s="2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" customHeight="1">
      <c r="A88" s="29"/>
      <c r="B88" s="17"/>
      <c r="C88" s="17"/>
      <c r="D88" s="17"/>
      <c r="E88" s="18"/>
      <c r="F88" s="17"/>
      <c r="G88" s="17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" customHeight="1">
      <c r="A89" s="28"/>
      <c r="B89" s="25"/>
      <c r="C89" s="25"/>
      <c r="D89" s="25"/>
      <c r="E89" s="26"/>
      <c r="F89" s="25"/>
      <c r="G89" s="25"/>
      <c r="H89" s="2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" customHeight="1">
      <c r="A90" s="29"/>
      <c r="B90" s="17"/>
      <c r="C90" s="17"/>
      <c r="D90" s="17"/>
      <c r="E90" s="18"/>
      <c r="F90" s="17"/>
      <c r="G90" s="17"/>
      <c r="H90" s="1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" customHeight="1">
      <c r="A91" s="28"/>
      <c r="B91" s="25"/>
      <c r="C91" s="25"/>
      <c r="D91" s="25"/>
      <c r="E91" s="26"/>
      <c r="F91" s="25"/>
      <c r="G91" s="25"/>
      <c r="H91" s="2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" customHeight="1">
      <c r="A92" s="29"/>
      <c r="B92" s="17"/>
      <c r="C92" s="17"/>
      <c r="D92" s="17"/>
      <c r="E92" s="18"/>
      <c r="F92" s="17"/>
      <c r="G92" s="17"/>
      <c r="H92" s="1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" customHeight="1">
      <c r="A93" s="28"/>
      <c r="B93" s="25"/>
      <c r="C93" s="25"/>
      <c r="D93" s="25"/>
      <c r="E93" s="26"/>
      <c r="F93" s="25"/>
      <c r="G93" s="25"/>
      <c r="H93" s="2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" customHeight="1">
      <c r="A94" s="29"/>
      <c r="B94" s="17"/>
      <c r="C94" s="17"/>
      <c r="D94" s="17"/>
      <c r="E94" s="18"/>
      <c r="F94" s="17"/>
      <c r="G94" s="17"/>
      <c r="H94" s="1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" customHeight="1">
      <c r="A95" s="28"/>
      <c r="B95" s="25"/>
      <c r="C95" s="25"/>
      <c r="D95" s="25"/>
      <c r="E95" s="26"/>
      <c r="F95" s="25"/>
      <c r="G95" s="25"/>
      <c r="H95" s="2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" customHeight="1">
      <c r="A96" s="29"/>
      <c r="B96" s="17"/>
      <c r="C96" s="17"/>
      <c r="D96" s="17"/>
      <c r="E96" s="18"/>
      <c r="F96" s="17"/>
      <c r="G96" s="17"/>
      <c r="H96" s="1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" customHeight="1">
      <c r="A97" s="28"/>
      <c r="B97" s="25"/>
      <c r="C97" s="25"/>
      <c r="D97" s="25"/>
      <c r="E97" s="26"/>
      <c r="F97" s="25"/>
      <c r="G97" s="25"/>
      <c r="H97" s="2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" customHeight="1">
      <c r="A98" s="29"/>
      <c r="B98" s="17"/>
      <c r="C98" s="17"/>
      <c r="D98" s="17"/>
      <c r="E98" s="18"/>
      <c r="F98" s="17"/>
      <c r="G98" s="17"/>
      <c r="H98" s="1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" customHeight="1">
      <c r="A99" s="28"/>
      <c r="B99" s="25"/>
      <c r="C99" s="25"/>
      <c r="D99" s="25"/>
      <c r="E99" s="26"/>
      <c r="F99" s="25"/>
      <c r="G99" s="25"/>
      <c r="H99" s="2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" customHeight="1">
      <c r="A100" s="29"/>
      <c r="B100" s="17"/>
      <c r="C100" s="17"/>
      <c r="D100" s="17"/>
      <c r="E100" s="18"/>
      <c r="F100" s="17"/>
      <c r="G100" s="17"/>
      <c r="H100" s="1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" customHeight="1">
      <c r="A101" s="28"/>
      <c r="B101" s="25"/>
      <c r="C101" s="25"/>
      <c r="D101" s="25"/>
      <c r="E101" s="26"/>
      <c r="F101" s="25"/>
      <c r="G101" s="25"/>
      <c r="H101" s="2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" customHeight="1">
      <c r="A102" s="29"/>
      <c r="B102" s="17"/>
      <c r="C102" s="17"/>
      <c r="D102" s="17"/>
      <c r="E102" s="18"/>
      <c r="F102" s="17"/>
      <c r="G102" s="17"/>
      <c r="H102" s="1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" customHeight="1">
      <c r="A103" s="28"/>
      <c r="B103" s="25"/>
      <c r="C103" s="25"/>
      <c r="D103" s="25"/>
      <c r="E103" s="26"/>
      <c r="F103" s="25"/>
      <c r="G103" s="25"/>
      <c r="H103" s="2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" customHeight="1">
      <c r="A104" s="30"/>
      <c r="B104" s="20"/>
      <c r="C104" s="20"/>
      <c r="D104" s="20"/>
      <c r="E104" s="21"/>
      <c r="F104" s="20"/>
      <c r="G104" s="20"/>
      <c r="H104" s="2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mergeCells count="2">
    <mergeCell ref="A1:H1"/>
    <mergeCell ref="A2:H2"/>
  </mergeCells>
  <conditionalFormatting sqref="D5:D104">
    <cfRule type="expression" dxfId="10" priority="1">
      <formula>D5="Present"</formula>
    </cfRule>
    <cfRule type="expression" dxfId="9" priority="2">
      <formula>D5="Late"</formula>
    </cfRule>
    <cfRule type="expression" dxfId="8" priority="3">
      <formula>D5="Absent"</formula>
    </cfRule>
  </conditionalFormatting>
  <conditionalFormatting sqref="F5:F104">
    <cfRule type="dataBar" priority="4">
      <dataBar>
        <cfvo type="min"/>
        <cfvo type="max"/>
        <color rgb="FF0B5D4A"/>
      </dataBar>
    </cfRule>
    <cfRule type="dataBar" priority="5">
      <dataBar>
        <cfvo type="min"/>
        <cfvo type="max"/>
        <color rgb="FF0B5D4A"/>
      </dataBar>
    </cfRule>
    <cfRule type="dataBar" priority="6">
      <dataBar>
        <cfvo type="min"/>
        <cfvo type="max"/>
        <color rgb="FF0B5D4A"/>
      </dataBar>
      <extLst>
        <ext xmlns:x14="http://schemas.microsoft.com/office/spreadsheetml/2009/9/main" uri="{B025F937-C7B1-47D3-B67F-A62EFF666E3E}">
          <x14:id>{9396FAD9-9913-FFE8-A414-3BDB7DA48613}</x14:id>
        </ext>
      </extLst>
    </cfRule>
  </conditionalFormatting>
  <dataValidations count="1">
    <dataValidation type="list" sqref="F5:F104" xr:uid="{00000000-0002-0000-0100-000000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96FAD9-9913-FFE8-A414-3BDB7DA48613}">
            <x14:dataBar>
              <x14:cfvo type="min"/>
              <x14:cfvo type="max"/>
              <x14:negativeFillColor auto="1"/>
              <x14:axisColor auto="1"/>
            </x14:dataBar>
          </x14:cfRule>
          <xm:sqref>F5:F104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1000000}">
          <x14:formula1>
            <xm:f>Lists!$A$5:$A$7</xm:f>
          </x14:formula1>
          <xm:sqref>B5:B104</xm:sqref>
        </x14:dataValidation>
        <x14:dataValidation type="list" xr:uid="{00000000-0002-0000-0100-000002000000}">
          <x14:formula1>
            <xm:f>Lists!$C$5:$C$8</xm:f>
          </x14:formula1>
          <xm:sqref>C5:C104</xm:sqref>
        </x14:dataValidation>
        <x14:dataValidation type="list" xr:uid="{00000000-0002-0000-0100-000003000000}">
          <x14:formula1>
            <xm:f>Lists!$B$5:$B$8</xm:f>
          </x14:formula1>
          <xm:sqref>D5:D104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374B"/>
  </sheetPr>
  <dimension ref="A1:F13"/>
  <sheetViews>
    <sheetView showGridLines="0" workbookViewId="0">
      <pane ySplit="4" topLeftCell="A5" activePane="bottomLeft" state="frozen"/>
      <selection pane="bottomLeft" sqref="A1:F1"/>
    </sheetView>
  </sheetViews>
  <sheetFormatPr defaultRowHeight="13.8"/>
  <cols>
    <col min="1" max="3" width="20" customWidth="1"/>
    <col min="4" max="4" width="32" customWidth="1"/>
    <col min="5" max="6" width="20" customWidth="1"/>
  </cols>
  <sheetData>
    <row r="1" spans="1:6" ht="38.1" customHeight="1">
      <c r="A1" s="60" t="s">
        <v>40</v>
      </c>
      <c r="B1" s="61"/>
      <c r="C1" s="61"/>
      <c r="D1" s="61"/>
      <c r="E1" s="61"/>
      <c r="F1" s="62"/>
    </row>
    <row r="2" spans="1:6" ht="30" customHeight="1">
      <c r="A2" s="63" t="s">
        <v>41</v>
      </c>
      <c r="B2" s="64"/>
      <c r="C2" s="64"/>
      <c r="D2" s="64"/>
      <c r="E2" s="64"/>
      <c r="F2" s="65"/>
    </row>
    <row r="3" spans="1:6" ht="25" customHeight="1">
      <c r="A3" s="2"/>
      <c r="B3" s="3"/>
      <c r="C3" s="3"/>
      <c r="D3" s="3"/>
      <c r="E3" s="3"/>
      <c r="F3" s="4"/>
    </row>
    <row r="4" spans="1:6" ht="38.1" customHeight="1">
      <c r="A4" s="23" t="s">
        <v>42</v>
      </c>
      <c r="B4" s="10" t="s">
        <v>43</v>
      </c>
      <c r="C4" s="10" t="s">
        <v>27</v>
      </c>
      <c r="D4" s="10" t="s">
        <v>44</v>
      </c>
      <c r="E4" s="10" t="s">
        <v>45</v>
      </c>
      <c r="F4" s="24" t="s">
        <v>46</v>
      </c>
    </row>
    <row r="5" spans="1:6" ht="25" customHeight="1">
      <c r="A5" s="33" t="s">
        <v>32</v>
      </c>
      <c r="B5" s="25" t="s">
        <v>34</v>
      </c>
      <c r="C5" s="25" t="s">
        <v>47</v>
      </c>
      <c r="D5" s="25" t="s">
        <v>15</v>
      </c>
      <c r="E5" s="25" t="s">
        <v>48</v>
      </c>
      <c r="F5" s="27" t="s">
        <v>49</v>
      </c>
    </row>
    <row r="6" spans="1:6" ht="25" customHeight="1">
      <c r="A6" s="31" t="s">
        <v>37</v>
      </c>
      <c r="B6" s="17" t="s">
        <v>50</v>
      </c>
      <c r="C6" s="17" t="s">
        <v>33</v>
      </c>
      <c r="D6" s="17" t="s">
        <v>16</v>
      </c>
      <c r="E6" s="17" t="s">
        <v>51</v>
      </c>
      <c r="F6" s="19" t="s">
        <v>52</v>
      </c>
    </row>
    <row r="7" spans="1:6" ht="25" customHeight="1">
      <c r="A7" s="33" t="s">
        <v>38</v>
      </c>
      <c r="B7" s="25" t="s">
        <v>53</v>
      </c>
      <c r="C7" s="25" t="s">
        <v>54</v>
      </c>
      <c r="D7" s="25" t="s">
        <v>17</v>
      </c>
      <c r="E7" s="25" t="s">
        <v>55</v>
      </c>
      <c r="F7" s="27" t="s">
        <v>56</v>
      </c>
    </row>
    <row r="8" spans="1:6" ht="25" customHeight="1">
      <c r="A8" s="31"/>
      <c r="B8" s="17" t="s">
        <v>57</v>
      </c>
      <c r="C8" s="17" t="s">
        <v>58</v>
      </c>
      <c r="D8" s="17" t="s">
        <v>18</v>
      </c>
      <c r="E8" s="17" t="s">
        <v>59</v>
      </c>
      <c r="F8" s="19" t="s">
        <v>60</v>
      </c>
    </row>
    <row r="9" spans="1:6" ht="25" customHeight="1">
      <c r="A9" s="33"/>
      <c r="B9" s="25"/>
      <c r="C9" s="25"/>
      <c r="D9" s="25" t="s">
        <v>19</v>
      </c>
      <c r="E9" s="25"/>
      <c r="F9" s="27" t="s">
        <v>61</v>
      </c>
    </row>
    <row r="10" spans="1:6" ht="25" customHeight="1">
      <c r="A10" s="31"/>
      <c r="B10" s="17"/>
      <c r="C10" s="17"/>
      <c r="D10" s="17" t="s">
        <v>20</v>
      </c>
      <c r="E10" s="17"/>
      <c r="F10" s="19"/>
    </row>
    <row r="11" spans="1:6" ht="25" customHeight="1">
      <c r="A11" s="33"/>
      <c r="B11" s="25"/>
      <c r="C11" s="25"/>
      <c r="D11" s="25" t="s">
        <v>21</v>
      </c>
      <c r="E11" s="25"/>
      <c r="F11" s="27"/>
    </row>
    <row r="12" spans="1:6" ht="25" customHeight="1">
      <c r="A12" s="31"/>
      <c r="B12" s="17"/>
      <c r="C12" s="17"/>
      <c r="D12" s="17" t="s">
        <v>22</v>
      </c>
      <c r="E12" s="17"/>
      <c r="F12" s="19"/>
    </row>
    <row r="13" spans="1:6" ht="25" customHeight="1">
      <c r="A13" s="34"/>
      <c r="B13" s="35"/>
      <c r="C13" s="35"/>
      <c r="D13" s="35" t="s">
        <v>23</v>
      </c>
      <c r="E13" s="35"/>
      <c r="F13" s="36"/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374B"/>
  </sheetPr>
  <dimension ref="A1:H12"/>
  <sheetViews>
    <sheetView showGridLines="0" workbookViewId="0">
      <pane ySplit="4" topLeftCell="A5" activePane="bottomLeft" state="frozen"/>
      <selection pane="bottomLeft" sqref="A1:H1"/>
    </sheetView>
  </sheetViews>
  <sheetFormatPr defaultRowHeight="13.8"/>
  <cols>
    <col min="1" max="1" width="9" customWidth="1"/>
    <col min="2" max="2" width="95" customWidth="1"/>
    <col min="3" max="3" width="28" customWidth="1"/>
    <col min="4" max="8" width="20" customWidth="1"/>
  </cols>
  <sheetData>
    <row r="1" spans="1:8" ht="38.1" customHeight="1">
      <c r="A1" s="60" t="s">
        <v>62</v>
      </c>
      <c r="B1" s="61"/>
      <c r="C1" s="61"/>
      <c r="D1" s="61"/>
      <c r="E1" s="61"/>
      <c r="F1" s="61"/>
      <c r="G1" s="61"/>
      <c r="H1" s="62"/>
    </row>
    <row r="2" spans="1:8" ht="30" customHeight="1">
      <c r="A2" s="63" t="s">
        <v>63</v>
      </c>
      <c r="B2" s="64"/>
      <c r="C2" s="64"/>
      <c r="D2" s="64"/>
      <c r="E2" s="64"/>
      <c r="F2" s="64"/>
      <c r="G2" s="64"/>
      <c r="H2" s="65"/>
    </row>
    <row r="3" spans="1:8" ht="25" customHeight="1">
      <c r="A3" s="2"/>
      <c r="B3" s="3"/>
      <c r="C3" s="3"/>
      <c r="D3" s="3"/>
      <c r="E3" s="3"/>
      <c r="F3" s="3"/>
      <c r="G3" s="3"/>
      <c r="H3" s="4"/>
    </row>
    <row r="4" spans="1:8" ht="38.1" customHeight="1">
      <c r="A4" s="23" t="s">
        <v>64</v>
      </c>
      <c r="B4" s="10" t="s">
        <v>65</v>
      </c>
      <c r="C4" s="10" t="s">
        <v>66</v>
      </c>
      <c r="D4" s="11"/>
      <c r="E4" s="11"/>
      <c r="F4" s="11"/>
      <c r="G4" s="11"/>
      <c r="H4" s="12"/>
    </row>
    <row r="5" spans="1:8" ht="48" customHeight="1">
      <c r="A5" s="33" t="s">
        <v>67</v>
      </c>
      <c r="B5" s="25" t="s">
        <v>68</v>
      </c>
      <c r="C5" s="25" t="s">
        <v>42</v>
      </c>
      <c r="D5" s="13"/>
      <c r="E5" s="13"/>
      <c r="F5" s="13"/>
      <c r="G5" s="13"/>
      <c r="H5" s="14"/>
    </row>
    <row r="6" spans="1:8" ht="48" customHeight="1">
      <c r="A6" s="31" t="s">
        <v>52</v>
      </c>
      <c r="B6" s="17" t="s">
        <v>69</v>
      </c>
      <c r="C6" s="17" t="s">
        <v>70</v>
      </c>
      <c r="D6" s="3"/>
      <c r="E6" s="3"/>
      <c r="F6" s="3"/>
      <c r="G6" s="3"/>
      <c r="H6" s="4"/>
    </row>
    <row r="7" spans="1:8" ht="48" customHeight="1">
      <c r="A7" s="33" t="s">
        <v>71</v>
      </c>
      <c r="B7" s="25" t="s">
        <v>72</v>
      </c>
      <c r="C7" s="25" t="s">
        <v>12</v>
      </c>
      <c r="D7" s="13"/>
      <c r="E7" s="13"/>
      <c r="F7" s="13"/>
      <c r="G7" s="13"/>
      <c r="H7" s="14"/>
    </row>
    <row r="8" spans="1:8" ht="48" customHeight="1">
      <c r="A8" s="31" t="s">
        <v>60</v>
      </c>
      <c r="B8" s="17" t="s">
        <v>73</v>
      </c>
      <c r="C8" s="17" t="s">
        <v>13</v>
      </c>
      <c r="D8" s="3"/>
      <c r="E8" s="3"/>
      <c r="F8" s="3"/>
      <c r="G8" s="3"/>
      <c r="H8" s="4"/>
    </row>
    <row r="9" spans="1:8" ht="48" customHeight="1">
      <c r="A9" s="33" t="s">
        <v>74</v>
      </c>
      <c r="B9" s="25" t="s">
        <v>75</v>
      </c>
      <c r="C9" s="25" t="s">
        <v>76</v>
      </c>
      <c r="D9" s="13"/>
      <c r="E9" s="13"/>
      <c r="F9" s="13"/>
      <c r="G9" s="13"/>
      <c r="H9" s="14"/>
    </row>
    <row r="10" spans="1:8" ht="48" customHeight="1">
      <c r="A10" s="31" t="s">
        <v>77</v>
      </c>
      <c r="B10" s="17" t="s">
        <v>78</v>
      </c>
      <c r="C10" s="17" t="s">
        <v>79</v>
      </c>
      <c r="D10" s="3"/>
      <c r="E10" s="3"/>
      <c r="F10" s="3"/>
      <c r="G10" s="3"/>
      <c r="H10" s="4"/>
    </row>
    <row r="11" spans="1:8" ht="48" customHeight="1">
      <c r="A11" s="33" t="s">
        <v>80</v>
      </c>
      <c r="B11" s="25" t="s">
        <v>81</v>
      </c>
      <c r="C11" s="25" t="s">
        <v>82</v>
      </c>
      <c r="D11" s="13"/>
      <c r="E11" s="13"/>
      <c r="F11" s="13"/>
      <c r="G11" s="13"/>
      <c r="H11" s="14"/>
    </row>
    <row r="12" spans="1:8" ht="48" customHeight="1">
      <c r="A12" s="32" t="s">
        <v>83</v>
      </c>
      <c r="B12" s="20" t="s">
        <v>84</v>
      </c>
      <c r="C12" s="20" t="s">
        <v>85</v>
      </c>
      <c r="D12" s="7"/>
      <c r="E12" s="7"/>
      <c r="F12" s="7"/>
      <c r="G12" s="7"/>
      <c r="H12" s="8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374B"/>
  </sheetPr>
  <dimension ref="A1:H50"/>
  <sheetViews>
    <sheetView showGridLines="0" workbookViewId="0">
      <pane ySplit="4" topLeftCell="A5" activePane="bottomLeft" state="frozen"/>
      <selection pane="bottomLeft" sqref="A1:H1"/>
    </sheetView>
  </sheetViews>
  <sheetFormatPr defaultRowHeight="13.8"/>
  <cols>
    <col min="1" max="4" width="20" customWidth="1"/>
    <col min="5" max="6" width="30" customWidth="1"/>
    <col min="7" max="7" width="20" customWidth="1"/>
    <col min="8" max="8" width="40" customWidth="1"/>
  </cols>
  <sheetData>
    <row r="1" spans="1:8" ht="38.1" customHeight="1">
      <c r="A1" s="60" t="s">
        <v>42</v>
      </c>
      <c r="B1" s="61"/>
      <c r="C1" s="61"/>
      <c r="D1" s="61"/>
      <c r="E1" s="61"/>
      <c r="F1" s="61"/>
      <c r="G1" s="61"/>
      <c r="H1" s="62"/>
    </row>
    <row r="2" spans="1:8" ht="30" customHeight="1">
      <c r="A2" s="63" t="s">
        <v>86</v>
      </c>
      <c r="B2" s="64"/>
      <c r="C2" s="64"/>
      <c r="D2" s="64"/>
      <c r="E2" s="64"/>
      <c r="F2" s="64"/>
      <c r="G2" s="64"/>
      <c r="H2" s="65"/>
    </row>
    <row r="3" spans="1:8" ht="25" customHeight="1">
      <c r="A3" s="2"/>
      <c r="B3" s="3"/>
      <c r="C3" s="3"/>
      <c r="D3" s="3"/>
      <c r="E3" s="3"/>
      <c r="F3" s="3"/>
      <c r="G3" s="3"/>
      <c r="H3" s="4"/>
    </row>
    <row r="4" spans="1:8" ht="38.1" customHeight="1">
      <c r="A4" s="23" t="s">
        <v>87</v>
      </c>
      <c r="B4" s="10" t="s">
        <v>88</v>
      </c>
      <c r="C4" s="10" t="s">
        <v>9</v>
      </c>
      <c r="D4" s="10" t="s">
        <v>10</v>
      </c>
      <c r="E4" s="10" t="s">
        <v>89</v>
      </c>
      <c r="F4" s="10" t="s">
        <v>90</v>
      </c>
      <c r="G4" s="10" t="s">
        <v>91</v>
      </c>
      <c r="H4" s="24" t="s">
        <v>31</v>
      </c>
    </row>
    <row r="5" spans="1:8" ht="44.1" customHeight="1">
      <c r="A5" s="37" t="s">
        <v>92</v>
      </c>
      <c r="B5" s="25" t="s">
        <v>32</v>
      </c>
      <c r="C5" s="25">
        <v>11</v>
      </c>
      <c r="D5" s="25" t="s">
        <v>93</v>
      </c>
      <c r="E5" s="25"/>
      <c r="F5" s="25" t="s">
        <v>94</v>
      </c>
      <c r="G5" s="43"/>
      <c r="H5" s="27"/>
    </row>
    <row r="6" spans="1:8" ht="44.1" customHeight="1">
      <c r="A6" s="38" t="s">
        <v>95</v>
      </c>
      <c r="B6" s="17" t="s">
        <v>37</v>
      </c>
      <c r="C6" s="17">
        <v>14</v>
      </c>
      <c r="D6" s="17" t="s">
        <v>93</v>
      </c>
      <c r="E6" s="17"/>
      <c r="F6" s="17" t="s">
        <v>94</v>
      </c>
      <c r="G6" s="44"/>
      <c r="H6" s="19"/>
    </row>
    <row r="7" spans="1:8" ht="44.1" customHeight="1">
      <c r="A7" s="37" t="s">
        <v>96</v>
      </c>
      <c r="B7" s="25" t="s">
        <v>38</v>
      </c>
      <c r="C7" s="25">
        <v>16</v>
      </c>
      <c r="D7" s="25" t="s">
        <v>93</v>
      </c>
      <c r="E7" s="25"/>
      <c r="F7" s="25" t="s">
        <v>94</v>
      </c>
      <c r="G7" s="43"/>
      <c r="H7" s="27"/>
    </row>
    <row r="8" spans="1:8" ht="25" customHeight="1">
      <c r="A8" s="38"/>
      <c r="B8" s="17"/>
      <c r="C8" s="17"/>
      <c r="D8" s="17"/>
      <c r="E8" s="17"/>
      <c r="F8" s="17"/>
      <c r="G8" s="44"/>
      <c r="H8" s="19"/>
    </row>
    <row r="9" spans="1:8" ht="25" customHeight="1">
      <c r="A9" s="37"/>
      <c r="B9" s="25"/>
      <c r="C9" s="25"/>
      <c r="D9" s="25"/>
      <c r="E9" s="25"/>
      <c r="F9" s="25"/>
      <c r="G9" s="43"/>
      <c r="H9" s="27"/>
    </row>
    <row r="10" spans="1:8" ht="25" customHeight="1">
      <c r="A10" s="38"/>
      <c r="B10" s="17"/>
      <c r="C10" s="17"/>
      <c r="D10" s="17"/>
      <c r="E10" s="17"/>
      <c r="F10" s="17"/>
      <c r="G10" s="44"/>
      <c r="H10" s="19"/>
    </row>
    <row r="11" spans="1:8" ht="25" customHeight="1">
      <c r="A11" s="37"/>
      <c r="B11" s="25"/>
      <c r="C11" s="25"/>
      <c r="D11" s="25"/>
      <c r="E11" s="25"/>
      <c r="F11" s="25"/>
      <c r="G11" s="43"/>
      <c r="H11" s="27"/>
    </row>
    <row r="12" spans="1:8" ht="25" customHeight="1">
      <c r="A12" s="38"/>
      <c r="B12" s="17"/>
      <c r="C12" s="17"/>
      <c r="D12" s="17"/>
      <c r="E12" s="17"/>
      <c r="F12" s="17"/>
      <c r="G12" s="44"/>
      <c r="H12" s="19"/>
    </row>
    <row r="13" spans="1:8" ht="25" customHeight="1">
      <c r="A13" s="37"/>
      <c r="B13" s="25"/>
      <c r="C13" s="25"/>
      <c r="D13" s="25"/>
      <c r="E13" s="25"/>
      <c r="F13" s="25"/>
      <c r="G13" s="43"/>
      <c r="H13" s="27"/>
    </row>
    <row r="14" spans="1:8" ht="25" customHeight="1">
      <c r="A14" s="38"/>
      <c r="B14" s="17"/>
      <c r="C14" s="17"/>
      <c r="D14" s="17"/>
      <c r="E14" s="17"/>
      <c r="F14" s="17"/>
      <c r="G14" s="44"/>
      <c r="H14" s="19"/>
    </row>
    <row r="15" spans="1:8" ht="25" customHeight="1">
      <c r="A15" s="37"/>
      <c r="B15" s="25"/>
      <c r="C15" s="25"/>
      <c r="D15" s="25"/>
      <c r="E15" s="25"/>
      <c r="F15" s="25"/>
      <c r="G15" s="43"/>
      <c r="H15" s="27"/>
    </row>
    <row r="16" spans="1:8" ht="25" customHeight="1">
      <c r="A16" s="38"/>
      <c r="B16" s="17"/>
      <c r="C16" s="17"/>
      <c r="D16" s="17"/>
      <c r="E16" s="17"/>
      <c r="F16" s="17"/>
      <c r="G16" s="44"/>
      <c r="H16" s="19"/>
    </row>
    <row r="17" spans="1:8" ht="25" customHeight="1">
      <c r="A17" s="37"/>
      <c r="B17" s="25"/>
      <c r="C17" s="25"/>
      <c r="D17" s="25"/>
      <c r="E17" s="25"/>
      <c r="F17" s="25"/>
      <c r="G17" s="43"/>
      <c r="H17" s="27"/>
    </row>
    <row r="18" spans="1:8" ht="25" customHeight="1">
      <c r="A18" s="38"/>
      <c r="B18" s="17"/>
      <c r="C18" s="17"/>
      <c r="D18" s="17"/>
      <c r="E18" s="17"/>
      <c r="F18" s="17"/>
      <c r="G18" s="44"/>
      <c r="H18" s="19"/>
    </row>
    <row r="19" spans="1:8" ht="25" customHeight="1">
      <c r="A19" s="37"/>
      <c r="B19" s="25"/>
      <c r="C19" s="25"/>
      <c r="D19" s="25"/>
      <c r="E19" s="25"/>
      <c r="F19" s="25"/>
      <c r="G19" s="43"/>
      <c r="H19" s="27"/>
    </row>
    <row r="20" spans="1:8" ht="25" customHeight="1">
      <c r="A20" s="38"/>
      <c r="B20" s="17"/>
      <c r="C20" s="17"/>
      <c r="D20" s="17"/>
      <c r="E20" s="17"/>
      <c r="F20" s="17"/>
      <c r="G20" s="44"/>
      <c r="H20" s="19"/>
    </row>
    <row r="21" spans="1:8" ht="25" customHeight="1">
      <c r="A21" s="37"/>
      <c r="B21" s="25"/>
      <c r="C21" s="25"/>
      <c r="D21" s="25"/>
      <c r="E21" s="25"/>
      <c r="F21" s="25"/>
      <c r="G21" s="43"/>
      <c r="H21" s="27"/>
    </row>
    <row r="22" spans="1:8" ht="25" customHeight="1">
      <c r="A22" s="38"/>
      <c r="B22" s="17"/>
      <c r="C22" s="17"/>
      <c r="D22" s="17"/>
      <c r="E22" s="17"/>
      <c r="F22" s="17"/>
      <c r="G22" s="44"/>
      <c r="H22" s="19"/>
    </row>
    <row r="23" spans="1:8" ht="25" customHeight="1">
      <c r="A23" s="37"/>
      <c r="B23" s="25"/>
      <c r="C23" s="25"/>
      <c r="D23" s="25"/>
      <c r="E23" s="25"/>
      <c r="F23" s="25"/>
      <c r="G23" s="43"/>
      <c r="H23" s="27"/>
    </row>
    <row r="24" spans="1:8" ht="25" customHeight="1">
      <c r="A24" s="38"/>
      <c r="B24" s="17"/>
      <c r="C24" s="17"/>
      <c r="D24" s="17"/>
      <c r="E24" s="17"/>
      <c r="F24" s="17"/>
      <c r="G24" s="44"/>
      <c r="H24" s="19"/>
    </row>
    <row r="25" spans="1:8" ht="25" customHeight="1">
      <c r="A25" s="37"/>
      <c r="B25" s="25"/>
      <c r="C25" s="25"/>
      <c r="D25" s="25"/>
      <c r="E25" s="25"/>
      <c r="F25" s="25"/>
      <c r="G25" s="43"/>
      <c r="H25" s="27"/>
    </row>
    <row r="26" spans="1:8" ht="25" customHeight="1">
      <c r="A26" s="38"/>
      <c r="B26" s="17"/>
      <c r="C26" s="17"/>
      <c r="D26" s="17"/>
      <c r="E26" s="17"/>
      <c r="F26" s="17"/>
      <c r="G26" s="44"/>
      <c r="H26" s="19"/>
    </row>
    <row r="27" spans="1:8" ht="25" customHeight="1">
      <c r="A27" s="37"/>
      <c r="B27" s="25"/>
      <c r="C27" s="25"/>
      <c r="D27" s="25"/>
      <c r="E27" s="25"/>
      <c r="F27" s="25"/>
      <c r="G27" s="43"/>
      <c r="H27" s="27"/>
    </row>
    <row r="28" spans="1:8" ht="25" customHeight="1">
      <c r="A28" s="38"/>
      <c r="B28" s="17"/>
      <c r="C28" s="17"/>
      <c r="D28" s="17"/>
      <c r="E28" s="17"/>
      <c r="F28" s="17"/>
      <c r="G28" s="44"/>
      <c r="H28" s="19"/>
    </row>
    <row r="29" spans="1:8" ht="25" customHeight="1">
      <c r="A29" s="37"/>
      <c r="B29" s="25"/>
      <c r="C29" s="25"/>
      <c r="D29" s="25"/>
      <c r="E29" s="25"/>
      <c r="F29" s="25"/>
      <c r="G29" s="43"/>
      <c r="H29" s="27"/>
    </row>
    <row r="30" spans="1:8" ht="25" customHeight="1">
      <c r="A30" s="38"/>
      <c r="B30" s="17"/>
      <c r="C30" s="17"/>
      <c r="D30" s="17"/>
      <c r="E30" s="17"/>
      <c r="F30" s="17"/>
      <c r="G30" s="44"/>
      <c r="H30" s="19"/>
    </row>
    <row r="31" spans="1:8" ht="25" customHeight="1">
      <c r="A31" s="37"/>
      <c r="B31" s="25"/>
      <c r="C31" s="25"/>
      <c r="D31" s="25"/>
      <c r="E31" s="25"/>
      <c r="F31" s="25"/>
      <c r="G31" s="43"/>
      <c r="H31" s="27"/>
    </row>
    <row r="32" spans="1:8" ht="25" customHeight="1">
      <c r="A32" s="38"/>
      <c r="B32" s="17"/>
      <c r="C32" s="17"/>
      <c r="D32" s="17"/>
      <c r="E32" s="17"/>
      <c r="F32" s="17"/>
      <c r="G32" s="44"/>
      <c r="H32" s="19"/>
    </row>
    <row r="33" spans="1:8" ht="25" customHeight="1">
      <c r="A33" s="37"/>
      <c r="B33" s="25"/>
      <c r="C33" s="25"/>
      <c r="D33" s="25"/>
      <c r="E33" s="25"/>
      <c r="F33" s="25"/>
      <c r="G33" s="43"/>
      <c r="H33" s="27"/>
    </row>
    <row r="34" spans="1:8" ht="25" customHeight="1">
      <c r="A34" s="38"/>
      <c r="B34" s="17"/>
      <c r="C34" s="17"/>
      <c r="D34" s="17"/>
      <c r="E34" s="17"/>
      <c r="F34" s="17"/>
      <c r="G34" s="44"/>
      <c r="H34" s="19"/>
    </row>
    <row r="35" spans="1:8" ht="25" customHeight="1">
      <c r="A35" s="37"/>
      <c r="B35" s="25"/>
      <c r="C35" s="25"/>
      <c r="D35" s="25"/>
      <c r="E35" s="25"/>
      <c r="F35" s="25"/>
      <c r="G35" s="43"/>
      <c r="H35" s="27"/>
    </row>
    <row r="36" spans="1:8" ht="25" customHeight="1">
      <c r="A36" s="38"/>
      <c r="B36" s="17"/>
      <c r="C36" s="17"/>
      <c r="D36" s="17"/>
      <c r="E36" s="17"/>
      <c r="F36" s="17"/>
      <c r="G36" s="44"/>
      <c r="H36" s="19"/>
    </row>
    <row r="37" spans="1:8" ht="25" customHeight="1">
      <c r="A37" s="37"/>
      <c r="B37" s="25"/>
      <c r="C37" s="25"/>
      <c r="D37" s="25"/>
      <c r="E37" s="25"/>
      <c r="F37" s="25"/>
      <c r="G37" s="43"/>
      <c r="H37" s="27"/>
    </row>
    <row r="38" spans="1:8" ht="25" customHeight="1">
      <c r="A38" s="38"/>
      <c r="B38" s="17"/>
      <c r="C38" s="17"/>
      <c r="D38" s="17"/>
      <c r="E38" s="17"/>
      <c r="F38" s="17"/>
      <c r="G38" s="44"/>
      <c r="H38" s="19"/>
    </row>
    <row r="39" spans="1:8" ht="25" customHeight="1">
      <c r="A39" s="37"/>
      <c r="B39" s="25"/>
      <c r="C39" s="25"/>
      <c r="D39" s="25"/>
      <c r="E39" s="25"/>
      <c r="F39" s="25"/>
      <c r="G39" s="43"/>
      <c r="H39" s="27"/>
    </row>
    <row r="40" spans="1:8" ht="25" customHeight="1">
      <c r="A40" s="38"/>
      <c r="B40" s="17"/>
      <c r="C40" s="17"/>
      <c r="D40" s="17"/>
      <c r="E40" s="17"/>
      <c r="F40" s="17"/>
      <c r="G40" s="44"/>
      <c r="H40" s="19"/>
    </row>
    <row r="41" spans="1:8" ht="25" customHeight="1">
      <c r="A41" s="37"/>
      <c r="B41" s="25"/>
      <c r="C41" s="25"/>
      <c r="D41" s="25"/>
      <c r="E41" s="25"/>
      <c r="F41" s="25"/>
      <c r="G41" s="43"/>
      <c r="H41" s="27"/>
    </row>
    <row r="42" spans="1:8" ht="25" customHeight="1">
      <c r="A42" s="38"/>
      <c r="B42" s="17"/>
      <c r="C42" s="17"/>
      <c r="D42" s="17"/>
      <c r="E42" s="17"/>
      <c r="F42" s="17"/>
      <c r="G42" s="44"/>
      <c r="H42" s="19"/>
    </row>
    <row r="43" spans="1:8" ht="25" customHeight="1">
      <c r="A43" s="37"/>
      <c r="B43" s="25"/>
      <c r="C43" s="25"/>
      <c r="D43" s="25"/>
      <c r="E43" s="25"/>
      <c r="F43" s="25"/>
      <c r="G43" s="43"/>
      <c r="H43" s="27"/>
    </row>
    <row r="44" spans="1:8" ht="25" customHeight="1">
      <c r="A44" s="38"/>
      <c r="B44" s="17"/>
      <c r="C44" s="17"/>
      <c r="D44" s="17"/>
      <c r="E44" s="17"/>
      <c r="F44" s="17"/>
      <c r="G44" s="44"/>
      <c r="H44" s="19"/>
    </row>
    <row r="45" spans="1:8" ht="25" customHeight="1">
      <c r="A45" s="37"/>
      <c r="B45" s="25"/>
      <c r="C45" s="25"/>
      <c r="D45" s="25"/>
      <c r="E45" s="25"/>
      <c r="F45" s="25"/>
      <c r="G45" s="43"/>
      <c r="H45" s="27"/>
    </row>
    <row r="46" spans="1:8" ht="25" customHeight="1">
      <c r="A46" s="38"/>
      <c r="B46" s="17"/>
      <c r="C46" s="17"/>
      <c r="D46" s="17"/>
      <c r="E46" s="17"/>
      <c r="F46" s="17"/>
      <c r="G46" s="44"/>
      <c r="H46" s="19"/>
    </row>
    <row r="47" spans="1:8" ht="25" customHeight="1">
      <c r="A47" s="37"/>
      <c r="B47" s="25"/>
      <c r="C47" s="25"/>
      <c r="D47" s="25"/>
      <c r="E47" s="25"/>
      <c r="F47" s="25"/>
      <c r="G47" s="43"/>
      <c r="H47" s="27"/>
    </row>
    <row r="48" spans="1:8" ht="25" customHeight="1">
      <c r="A48" s="38"/>
      <c r="B48" s="17"/>
      <c r="C48" s="17"/>
      <c r="D48" s="17"/>
      <c r="E48" s="17"/>
      <c r="F48" s="17"/>
      <c r="G48" s="44"/>
      <c r="H48" s="19"/>
    </row>
    <row r="49" spans="1:8" ht="25" customHeight="1">
      <c r="A49" s="37"/>
      <c r="B49" s="25"/>
      <c r="C49" s="25"/>
      <c r="D49" s="25"/>
      <c r="E49" s="25"/>
      <c r="F49" s="25"/>
      <c r="G49" s="43"/>
      <c r="H49" s="27"/>
    </row>
    <row r="50" spans="1:8" ht="25" customHeight="1">
      <c r="A50" s="39"/>
      <c r="B50" s="20"/>
      <c r="C50" s="20"/>
      <c r="D50" s="20"/>
      <c r="E50" s="20"/>
      <c r="F50" s="20"/>
      <c r="G50" s="45"/>
      <c r="H50" s="22"/>
    </row>
  </sheetData>
  <mergeCells count="2">
    <mergeCell ref="A1:H1"/>
    <mergeCell ref="A2:H2"/>
  </mergeCells>
  <dataValidations count="1">
    <dataValidation type="list" sqref="D5:D50" xr:uid="{00000000-0002-0000-0400-000000000000}">
      <formula1>"Active,Paused,Left"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4374B"/>
  </sheetPr>
  <dimension ref="A1:Z250"/>
  <sheetViews>
    <sheetView showGridLines="0" zoomScale="80" zoomScaleNormal="80" workbookViewId="0">
      <pane ySplit="4" topLeftCell="A5" activePane="bottomLeft" state="frozen"/>
      <selection pane="bottomLeft" sqref="A1:J1"/>
    </sheetView>
  </sheetViews>
  <sheetFormatPr defaultRowHeight="13.8"/>
  <cols>
    <col min="1" max="4" width="20" customWidth="1"/>
    <col min="5" max="10" width="30" customWidth="1"/>
  </cols>
  <sheetData>
    <row r="1" spans="1:26" ht="38.1" customHeight="1">
      <c r="A1" s="60" t="s">
        <v>191</v>
      </c>
      <c r="B1" s="61"/>
      <c r="C1" s="61"/>
      <c r="D1" s="61"/>
      <c r="E1" s="61"/>
      <c r="F1" s="61"/>
      <c r="G1" s="61"/>
      <c r="H1" s="61"/>
      <c r="I1" s="61"/>
      <c r="J1" s="62"/>
    </row>
    <row r="2" spans="1:26" ht="30" customHeight="1">
      <c r="A2" s="63" t="s">
        <v>192</v>
      </c>
      <c r="B2" s="64"/>
      <c r="C2" s="64"/>
      <c r="D2" s="64"/>
      <c r="E2" s="64"/>
      <c r="F2" s="64"/>
      <c r="G2" s="64"/>
      <c r="H2" s="64"/>
      <c r="I2" s="64"/>
      <c r="J2" s="65"/>
    </row>
    <row r="3" spans="1:26" ht="25" customHeight="1">
      <c r="A3" s="2"/>
      <c r="B3" s="3"/>
      <c r="C3" s="3"/>
      <c r="D3" s="3"/>
      <c r="E3" s="3"/>
      <c r="F3" s="3"/>
      <c r="G3" s="3"/>
      <c r="H3" s="3"/>
      <c r="I3" s="3"/>
      <c r="J3" s="4"/>
    </row>
    <row r="4" spans="1:26" ht="14.1">
      <c r="A4" s="23" t="s">
        <v>26</v>
      </c>
      <c r="B4" s="10" t="s">
        <v>27</v>
      </c>
      <c r="C4" s="10" t="s">
        <v>112</v>
      </c>
      <c r="D4" s="10" t="s">
        <v>113</v>
      </c>
      <c r="E4" s="10" t="s">
        <v>44</v>
      </c>
      <c r="F4" s="10" t="s">
        <v>193</v>
      </c>
      <c r="G4" s="10" t="s">
        <v>194</v>
      </c>
      <c r="H4" s="10" t="s">
        <v>195</v>
      </c>
      <c r="I4" s="10" t="s">
        <v>55</v>
      </c>
      <c r="J4" s="24" t="s">
        <v>196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4.1" customHeight="1">
      <c r="A5" s="28"/>
      <c r="B5" s="25"/>
      <c r="C5" s="26"/>
      <c r="D5" s="26"/>
      <c r="E5" s="25"/>
      <c r="F5" s="25"/>
      <c r="G5" s="25"/>
      <c r="H5" s="25"/>
      <c r="I5" s="25"/>
      <c r="J5" s="2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4.1" customHeight="1">
      <c r="A6" s="29"/>
      <c r="B6" s="17"/>
      <c r="C6" s="18"/>
      <c r="D6" s="18"/>
      <c r="E6" s="17"/>
      <c r="F6" s="17"/>
      <c r="G6" s="17"/>
      <c r="H6" s="17"/>
      <c r="I6" s="17"/>
      <c r="J6" s="1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4.1" customHeight="1">
      <c r="A7" s="28"/>
      <c r="B7" s="25"/>
      <c r="C7" s="26"/>
      <c r="D7" s="26"/>
      <c r="E7" s="25"/>
      <c r="F7" s="25"/>
      <c r="G7" s="25"/>
      <c r="H7" s="25"/>
      <c r="I7" s="25"/>
      <c r="J7" s="2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" customHeight="1">
      <c r="A8" s="29"/>
      <c r="B8" s="17"/>
      <c r="C8" s="18"/>
      <c r="D8" s="18"/>
      <c r="E8" s="17"/>
      <c r="F8" s="17"/>
      <c r="G8" s="17"/>
      <c r="H8" s="17"/>
      <c r="I8" s="17"/>
      <c r="J8" s="1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" customHeight="1">
      <c r="A9" s="28"/>
      <c r="B9" s="25"/>
      <c r="C9" s="26"/>
      <c r="D9" s="26"/>
      <c r="E9" s="25"/>
      <c r="F9" s="25"/>
      <c r="G9" s="25"/>
      <c r="H9" s="25"/>
      <c r="I9" s="25"/>
      <c r="J9" s="2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" customHeight="1">
      <c r="A10" s="29"/>
      <c r="B10" s="17"/>
      <c r="C10" s="18"/>
      <c r="D10" s="18"/>
      <c r="E10" s="17"/>
      <c r="F10" s="17"/>
      <c r="G10" s="17"/>
      <c r="H10" s="17"/>
      <c r="I10" s="17"/>
      <c r="J10" s="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" customHeight="1">
      <c r="A11" s="28"/>
      <c r="B11" s="25"/>
      <c r="C11" s="26"/>
      <c r="D11" s="26"/>
      <c r="E11" s="25"/>
      <c r="F11" s="25"/>
      <c r="G11" s="25"/>
      <c r="H11" s="25"/>
      <c r="I11" s="25"/>
      <c r="J11" s="2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>
      <c r="A12" s="29"/>
      <c r="B12" s="17"/>
      <c r="C12" s="18"/>
      <c r="D12" s="18"/>
      <c r="E12" s="17"/>
      <c r="F12" s="17"/>
      <c r="G12" s="17"/>
      <c r="H12" s="17"/>
      <c r="I12" s="17"/>
      <c r="J12" s="1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>
      <c r="A13" s="28"/>
      <c r="B13" s="25"/>
      <c r="C13" s="26"/>
      <c r="D13" s="26"/>
      <c r="E13" s="25"/>
      <c r="F13" s="25"/>
      <c r="G13" s="25"/>
      <c r="H13" s="25"/>
      <c r="I13" s="25"/>
      <c r="J13" s="2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" customHeight="1">
      <c r="A14" s="29"/>
      <c r="B14" s="17"/>
      <c r="C14" s="18"/>
      <c r="D14" s="18"/>
      <c r="E14" s="17"/>
      <c r="F14" s="17"/>
      <c r="G14" s="17"/>
      <c r="H14" s="17"/>
      <c r="I14" s="17"/>
      <c r="J14" s="1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" customHeight="1">
      <c r="A15" s="28"/>
      <c r="B15" s="25"/>
      <c r="C15" s="26"/>
      <c r="D15" s="26"/>
      <c r="E15" s="25"/>
      <c r="F15" s="25"/>
      <c r="G15" s="25"/>
      <c r="H15" s="25"/>
      <c r="I15" s="25"/>
      <c r="J15" s="2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>
      <c r="A16" s="29"/>
      <c r="B16" s="17"/>
      <c r="C16" s="18"/>
      <c r="D16" s="18"/>
      <c r="E16" s="17"/>
      <c r="F16" s="17"/>
      <c r="G16" s="17"/>
      <c r="H16" s="17"/>
      <c r="I16" s="17"/>
      <c r="J16" s="1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" customHeight="1">
      <c r="A17" s="28"/>
      <c r="B17" s="25"/>
      <c r="C17" s="26"/>
      <c r="D17" s="26"/>
      <c r="E17" s="25"/>
      <c r="F17" s="25"/>
      <c r="G17" s="25"/>
      <c r="H17" s="25"/>
      <c r="I17" s="25"/>
      <c r="J17" s="2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" customHeight="1">
      <c r="A18" s="29"/>
      <c r="B18" s="17"/>
      <c r="C18" s="18"/>
      <c r="D18" s="18"/>
      <c r="E18" s="17"/>
      <c r="F18" s="17"/>
      <c r="G18" s="17"/>
      <c r="H18" s="17"/>
      <c r="I18" s="17"/>
      <c r="J18" s="1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" customHeight="1">
      <c r="A19" s="28"/>
      <c r="B19" s="25"/>
      <c r="C19" s="26"/>
      <c r="D19" s="26"/>
      <c r="E19" s="25"/>
      <c r="F19" s="25"/>
      <c r="G19" s="25"/>
      <c r="H19" s="25"/>
      <c r="I19" s="25"/>
      <c r="J19" s="2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" customHeight="1">
      <c r="A20" s="29"/>
      <c r="B20" s="17"/>
      <c r="C20" s="18"/>
      <c r="D20" s="18"/>
      <c r="E20" s="17"/>
      <c r="F20" s="17"/>
      <c r="G20" s="17"/>
      <c r="H20" s="17"/>
      <c r="I20" s="17"/>
      <c r="J20" s="1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>
      <c r="A21" s="28"/>
      <c r="B21" s="25"/>
      <c r="C21" s="26"/>
      <c r="D21" s="26"/>
      <c r="E21" s="25"/>
      <c r="F21" s="25"/>
      <c r="G21" s="25"/>
      <c r="H21" s="25"/>
      <c r="I21" s="25"/>
      <c r="J21" s="2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>
      <c r="A22" s="29"/>
      <c r="B22" s="17"/>
      <c r="C22" s="18"/>
      <c r="D22" s="18"/>
      <c r="E22" s="17"/>
      <c r="F22" s="17"/>
      <c r="G22" s="17"/>
      <c r="H22" s="17"/>
      <c r="I22" s="17"/>
      <c r="J22" s="1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>
      <c r="A23" s="28"/>
      <c r="B23" s="25"/>
      <c r="C23" s="26"/>
      <c r="D23" s="26"/>
      <c r="E23" s="25"/>
      <c r="F23" s="25"/>
      <c r="G23" s="25"/>
      <c r="H23" s="25"/>
      <c r="I23" s="25"/>
      <c r="J23" s="2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>
      <c r="A24" s="29"/>
      <c r="B24" s="17"/>
      <c r="C24" s="18"/>
      <c r="D24" s="18"/>
      <c r="E24" s="17"/>
      <c r="F24" s="17"/>
      <c r="G24" s="17"/>
      <c r="H24" s="17"/>
      <c r="I24" s="17"/>
      <c r="J24" s="1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" customHeight="1">
      <c r="A25" s="28"/>
      <c r="B25" s="25"/>
      <c r="C25" s="26"/>
      <c r="D25" s="26"/>
      <c r="E25" s="25"/>
      <c r="F25" s="25"/>
      <c r="G25" s="25"/>
      <c r="H25" s="25"/>
      <c r="I25" s="25"/>
      <c r="J25" s="2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" customHeight="1">
      <c r="A26" s="29"/>
      <c r="B26" s="17"/>
      <c r="C26" s="18"/>
      <c r="D26" s="18"/>
      <c r="E26" s="17"/>
      <c r="F26" s="17"/>
      <c r="G26" s="17"/>
      <c r="H26" s="17"/>
      <c r="I26" s="17"/>
      <c r="J26" s="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" customHeight="1">
      <c r="A27" s="28"/>
      <c r="B27" s="25"/>
      <c r="C27" s="26"/>
      <c r="D27" s="26"/>
      <c r="E27" s="25"/>
      <c r="F27" s="25"/>
      <c r="G27" s="25"/>
      <c r="H27" s="25"/>
      <c r="I27" s="25"/>
      <c r="J27" s="2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>
      <c r="A28" s="29"/>
      <c r="B28" s="17"/>
      <c r="C28" s="18"/>
      <c r="D28" s="18"/>
      <c r="E28" s="17"/>
      <c r="F28" s="17"/>
      <c r="G28" s="17"/>
      <c r="H28" s="17"/>
      <c r="I28" s="17"/>
      <c r="J28" s="1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>
      <c r="A29" s="28"/>
      <c r="B29" s="25"/>
      <c r="C29" s="26"/>
      <c r="D29" s="26"/>
      <c r="E29" s="25"/>
      <c r="F29" s="25"/>
      <c r="G29" s="25"/>
      <c r="H29" s="25"/>
      <c r="I29" s="25"/>
      <c r="J29" s="2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>
      <c r="A30" s="29"/>
      <c r="B30" s="17"/>
      <c r="C30" s="18"/>
      <c r="D30" s="18"/>
      <c r="E30" s="17"/>
      <c r="F30" s="17"/>
      <c r="G30" s="17"/>
      <c r="H30" s="17"/>
      <c r="I30" s="17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" customHeight="1">
      <c r="A31" s="28"/>
      <c r="B31" s="25"/>
      <c r="C31" s="26"/>
      <c r="D31" s="26"/>
      <c r="E31" s="25"/>
      <c r="F31" s="25"/>
      <c r="G31" s="25"/>
      <c r="H31" s="25"/>
      <c r="I31" s="25"/>
      <c r="J31" s="2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" customHeight="1">
      <c r="A32" s="29"/>
      <c r="B32" s="17"/>
      <c r="C32" s="18"/>
      <c r="D32" s="18"/>
      <c r="E32" s="17"/>
      <c r="F32" s="17"/>
      <c r="G32" s="17"/>
      <c r="H32" s="17"/>
      <c r="I32" s="17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>
      <c r="A33" s="28"/>
      <c r="B33" s="25"/>
      <c r="C33" s="26"/>
      <c r="D33" s="26"/>
      <c r="E33" s="25"/>
      <c r="F33" s="25"/>
      <c r="G33" s="25"/>
      <c r="H33" s="25"/>
      <c r="I33" s="25"/>
      <c r="J33" s="2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" customHeight="1">
      <c r="A34" s="29"/>
      <c r="B34" s="17"/>
      <c r="C34" s="18"/>
      <c r="D34" s="18"/>
      <c r="E34" s="17"/>
      <c r="F34" s="17"/>
      <c r="G34" s="17"/>
      <c r="H34" s="17"/>
      <c r="I34" s="17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" customHeight="1">
      <c r="A35" s="28"/>
      <c r="B35" s="25"/>
      <c r="C35" s="26"/>
      <c r="D35" s="26"/>
      <c r="E35" s="25"/>
      <c r="F35" s="25"/>
      <c r="G35" s="25"/>
      <c r="H35" s="25"/>
      <c r="I35" s="25"/>
      <c r="J35" s="2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" customHeight="1">
      <c r="A36" s="29"/>
      <c r="B36" s="17"/>
      <c r="C36" s="18"/>
      <c r="D36" s="18"/>
      <c r="E36" s="17"/>
      <c r="F36" s="17"/>
      <c r="G36" s="17"/>
      <c r="H36" s="17"/>
      <c r="I36" s="17"/>
      <c r="J36" s="1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" customHeight="1">
      <c r="A37" s="28"/>
      <c r="B37" s="25"/>
      <c r="C37" s="26"/>
      <c r="D37" s="26"/>
      <c r="E37" s="25"/>
      <c r="F37" s="25"/>
      <c r="G37" s="25"/>
      <c r="H37" s="25"/>
      <c r="I37" s="25"/>
      <c r="J37" s="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>
      <c r="A38" s="29"/>
      <c r="B38" s="17"/>
      <c r="C38" s="18"/>
      <c r="D38" s="18"/>
      <c r="E38" s="17"/>
      <c r="F38" s="17"/>
      <c r="G38" s="17"/>
      <c r="H38" s="17"/>
      <c r="I38" s="17"/>
      <c r="J38" s="1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>
      <c r="A39" s="28"/>
      <c r="B39" s="25"/>
      <c r="C39" s="26"/>
      <c r="D39" s="26"/>
      <c r="E39" s="25"/>
      <c r="F39" s="25"/>
      <c r="G39" s="25"/>
      <c r="H39" s="25"/>
      <c r="I39" s="25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>
      <c r="A40" s="29"/>
      <c r="B40" s="17"/>
      <c r="C40" s="18"/>
      <c r="D40" s="18"/>
      <c r="E40" s="17"/>
      <c r="F40" s="17"/>
      <c r="G40" s="17"/>
      <c r="H40" s="17"/>
      <c r="I40" s="17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>
      <c r="A41" s="28"/>
      <c r="B41" s="25"/>
      <c r="C41" s="26"/>
      <c r="D41" s="26"/>
      <c r="E41" s="25"/>
      <c r="F41" s="25"/>
      <c r="G41" s="25"/>
      <c r="H41" s="25"/>
      <c r="I41" s="25"/>
      <c r="J41" s="2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" customHeight="1">
      <c r="A42" s="29"/>
      <c r="B42" s="17"/>
      <c r="C42" s="18"/>
      <c r="D42" s="18"/>
      <c r="E42" s="17"/>
      <c r="F42" s="17"/>
      <c r="G42" s="17"/>
      <c r="H42" s="17"/>
      <c r="I42" s="17"/>
      <c r="J42" s="1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" customHeight="1">
      <c r="A43" s="28"/>
      <c r="B43" s="25"/>
      <c r="C43" s="26"/>
      <c r="D43" s="26"/>
      <c r="E43" s="25"/>
      <c r="F43" s="25"/>
      <c r="G43" s="25"/>
      <c r="H43" s="25"/>
      <c r="I43" s="25"/>
      <c r="J43" s="2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" customHeight="1">
      <c r="A44" s="29"/>
      <c r="B44" s="17"/>
      <c r="C44" s="18"/>
      <c r="D44" s="18"/>
      <c r="E44" s="17"/>
      <c r="F44" s="17"/>
      <c r="G44" s="17"/>
      <c r="H44" s="17"/>
      <c r="I44" s="17"/>
      <c r="J44" s="1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>
      <c r="A45" s="28"/>
      <c r="B45" s="25"/>
      <c r="C45" s="26"/>
      <c r="D45" s="26"/>
      <c r="E45" s="25"/>
      <c r="F45" s="25"/>
      <c r="G45" s="25"/>
      <c r="H45" s="25"/>
      <c r="I45" s="25"/>
      <c r="J45" s="2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>
      <c r="A46" s="29"/>
      <c r="B46" s="17"/>
      <c r="C46" s="18"/>
      <c r="D46" s="18"/>
      <c r="E46" s="17"/>
      <c r="F46" s="17"/>
      <c r="G46" s="17"/>
      <c r="H46" s="17"/>
      <c r="I46" s="17"/>
      <c r="J46" s="1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>
      <c r="A47" s="28"/>
      <c r="B47" s="25"/>
      <c r="C47" s="26"/>
      <c r="D47" s="26"/>
      <c r="E47" s="25"/>
      <c r="F47" s="25"/>
      <c r="G47" s="25"/>
      <c r="H47" s="25"/>
      <c r="I47" s="25"/>
      <c r="J47" s="2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" customHeight="1">
      <c r="A48" s="29"/>
      <c r="B48" s="17"/>
      <c r="C48" s="18"/>
      <c r="D48" s="18"/>
      <c r="E48" s="17"/>
      <c r="F48" s="17"/>
      <c r="G48" s="17"/>
      <c r="H48" s="17"/>
      <c r="I48" s="17"/>
      <c r="J48" s="1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" customHeight="1">
      <c r="A49" s="28"/>
      <c r="B49" s="25"/>
      <c r="C49" s="26"/>
      <c r="D49" s="26"/>
      <c r="E49" s="25"/>
      <c r="F49" s="25"/>
      <c r="G49" s="25"/>
      <c r="H49" s="25"/>
      <c r="I49" s="25"/>
      <c r="J49" s="2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>
      <c r="A50" s="29"/>
      <c r="B50" s="17"/>
      <c r="C50" s="18"/>
      <c r="D50" s="18"/>
      <c r="E50" s="17"/>
      <c r="F50" s="17"/>
      <c r="G50" s="17"/>
      <c r="H50" s="17"/>
      <c r="I50" s="17"/>
      <c r="J50" s="1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" customHeight="1">
      <c r="A51" s="28"/>
      <c r="B51" s="25"/>
      <c r="C51" s="26"/>
      <c r="D51" s="26"/>
      <c r="E51" s="25"/>
      <c r="F51" s="25"/>
      <c r="G51" s="25"/>
      <c r="H51" s="25"/>
      <c r="I51" s="25"/>
      <c r="J51" s="2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" customHeight="1">
      <c r="A52" s="29"/>
      <c r="B52" s="17"/>
      <c r="C52" s="18"/>
      <c r="D52" s="18"/>
      <c r="E52" s="17"/>
      <c r="F52" s="17"/>
      <c r="G52" s="17"/>
      <c r="H52" s="17"/>
      <c r="I52" s="17"/>
      <c r="J52" s="1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" customHeight="1">
      <c r="A53" s="28"/>
      <c r="B53" s="25"/>
      <c r="C53" s="26"/>
      <c r="D53" s="26"/>
      <c r="E53" s="25"/>
      <c r="F53" s="25"/>
      <c r="G53" s="25"/>
      <c r="H53" s="25"/>
      <c r="I53" s="25"/>
      <c r="J53" s="2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" customHeight="1">
      <c r="A54" s="29"/>
      <c r="B54" s="17"/>
      <c r="C54" s="18"/>
      <c r="D54" s="18"/>
      <c r="E54" s="17"/>
      <c r="F54" s="17"/>
      <c r="G54" s="17"/>
      <c r="H54" s="17"/>
      <c r="I54" s="17"/>
      <c r="J54" s="1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>
      <c r="A55" s="28"/>
      <c r="B55" s="25"/>
      <c r="C55" s="26"/>
      <c r="D55" s="26"/>
      <c r="E55" s="25"/>
      <c r="F55" s="25"/>
      <c r="G55" s="25"/>
      <c r="H55" s="25"/>
      <c r="I55" s="25"/>
      <c r="J55" s="2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>
      <c r="A56" s="29"/>
      <c r="B56" s="17"/>
      <c r="C56" s="18"/>
      <c r="D56" s="18"/>
      <c r="E56" s="17"/>
      <c r="F56" s="17"/>
      <c r="G56" s="17"/>
      <c r="H56" s="17"/>
      <c r="I56" s="17"/>
      <c r="J56" s="1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>
      <c r="A57" s="28"/>
      <c r="B57" s="25"/>
      <c r="C57" s="26"/>
      <c r="D57" s="26"/>
      <c r="E57" s="25"/>
      <c r="F57" s="25"/>
      <c r="G57" s="25"/>
      <c r="H57" s="25"/>
      <c r="I57" s="25"/>
      <c r="J57" s="2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>
      <c r="A58" s="29"/>
      <c r="B58" s="17"/>
      <c r="C58" s="18"/>
      <c r="D58" s="18"/>
      <c r="E58" s="17"/>
      <c r="F58" s="17"/>
      <c r="G58" s="17"/>
      <c r="H58" s="17"/>
      <c r="I58" s="17"/>
      <c r="J58" s="1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" customHeight="1">
      <c r="A59" s="28"/>
      <c r="B59" s="25"/>
      <c r="C59" s="26"/>
      <c r="D59" s="26"/>
      <c r="E59" s="25"/>
      <c r="F59" s="25"/>
      <c r="G59" s="25"/>
      <c r="H59" s="25"/>
      <c r="I59" s="25"/>
      <c r="J59" s="2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" customHeight="1">
      <c r="A60" s="29"/>
      <c r="B60" s="17"/>
      <c r="C60" s="18"/>
      <c r="D60" s="18"/>
      <c r="E60" s="17"/>
      <c r="F60" s="17"/>
      <c r="G60" s="17"/>
      <c r="H60" s="17"/>
      <c r="I60" s="17"/>
      <c r="J60" s="1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" customHeight="1">
      <c r="A61" s="28"/>
      <c r="B61" s="25"/>
      <c r="C61" s="26"/>
      <c r="D61" s="26"/>
      <c r="E61" s="25"/>
      <c r="F61" s="25"/>
      <c r="G61" s="25"/>
      <c r="H61" s="25"/>
      <c r="I61" s="25"/>
      <c r="J61" s="2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>
      <c r="A62" s="29"/>
      <c r="B62" s="17"/>
      <c r="C62" s="18"/>
      <c r="D62" s="18"/>
      <c r="E62" s="17"/>
      <c r="F62" s="17"/>
      <c r="G62" s="17"/>
      <c r="H62" s="17"/>
      <c r="I62" s="17"/>
      <c r="J62" s="1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" customHeight="1">
      <c r="A63" s="28"/>
      <c r="B63" s="25"/>
      <c r="C63" s="26"/>
      <c r="D63" s="26"/>
      <c r="E63" s="25"/>
      <c r="F63" s="25"/>
      <c r="G63" s="25"/>
      <c r="H63" s="25"/>
      <c r="I63" s="25"/>
      <c r="J63" s="2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" customHeight="1">
      <c r="A64" s="29"/>
      <c r="B64" s="17"/>
      <c r="C64" s="18"/>
      <c r="D64" s="18"/>
      <c r="E64" s="17"/>
      <c r="F64" s="17"/>
      <c r="G64" s="17"/>
      <c r="H64" s="17"/>
      <c r="I64" s="17"/>
      <c r="J64" s="1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" customHeight="1">
      <c r="A65" s="28"/>
      <c r="B65" s="25"/>
      <c r="C65" s="26"/>
      <c r="D65" s="26"/>
      <c r="E65" s="25"/>
      <c r="F65" s="25"/>
      <c r="G65" s="25"/>
      <c r="H65" s="25"/>
      <c r="I65" s="25"/>
      <c r="J65" s="2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" customHeight="1">
      <c r="A66" s="29"/>
      <c r="B66" s="17"/>
      <c r="C66" s="18"/>
      <c r="D66" s="18"/>
      <c r="E66" s="17"/>
      <c r="F66" s="17"/>
      <c r="G66" s="17"/>
      <c r="H66" s="17"/>
      <c r="I66" s="17"/>
      <c r="J66" s="1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" customHeight="1">
      <c r="A67" s="28"/>
      <c r="B67" s="25"/>
      <c r="C67" s="26"/>
      <c r="D67" s="26"/>
      <c r="E67" s="25"/>
      <c r="F67" s="25"/>
      <c r="G67" s="25"/>
      <c r="H67" s="25"/>
      <c r="I67" s="25"/>
      <c r="J67" s="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" customHeight="1">
      <c r="A68" s="29"/>
      <c r="B68" s="17"/>
      <c r="C68" s="18"/>
      <c r="D68" s="18"/>
      <c r="E68" s="17"/>
      <c r="F68" s="17"/>
      <c r="G68" s="17"/>
      <c r="H68" s="17"/>
      <c r="I68" s="17"/>
      <c r="J68" s="1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" customHeight="1">
      <c r="A69" s="28"/>
      <c r="B69" s="25"/>
      <c r="C69" s="26"/>
      <c r="D69" s="26"/>
      <c r="E69" s="25"/>
      <c r="F69" s="25"/>
      <c r="G69" s="25"/>
      <c r="H69" s="25"/>
      <c r="I69" s="25"/>
      <c r="J69" s="2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" customHeight="1">
      <c r="A70" s="29"/>
      <c r="B70" s="17"/>
      <c r="C70" s="18"/>
      <c r="D70" s="18"/>
      <c r="E70" s="17"/>
      <c r="F70" s="17"/>
      <c r="G70" s="17"/>
      <c r="H70" s="17"/>
      <c r="I70" s="17"/>
      <c r="J70" s="1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" customHeight="1">
      <c r="A71" s="28"/>
      <c r="B71" s="25"/>
      <c r="C71" s="26"/>
      <c r="D71" s="26"/>
      <c r="E71" s="25"/>
      <c r="F71" s="25"/>
      <c r="G71" s="25"/>
      <c r="H71" s="25"/>
      <c r="I71" s="25"/>
      <c r="J71" s="2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" customHeight="1">
      <c r="A72" s="29"/>
      <c r="B72" s="17"/>
      <c r="C72" s="18"/>
      <c r="D72" s="18"/>
      <c r="E72" s="17"/>
      <c r="F72" s="17"/>
      <c r="G72" s="17"/>
      <c r="H72" s="17"/>
      <c r="I72" s="17"/>
      <c r="J72" s="19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" customHeight="1">
      <c r="A73" s="28"/>
      <c r="B73" s="25"/>
      <c r="C73" s="26"/>
      <c r="D73" s="26"/>
      <c r="E73" s="25"/>
      <c r="F73" s="25"/>
      <c r="G73" s="25"/>
      <c r="H73" s="25"/>
      <c r="I73" s="25"/>
      <c r="J73" s="2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" customHeight="1">
      <c r="A74" s="29"/>
      <c r="B74" s="17"/>
      <c r="C74" s="18"/>
      <c r="D74" s="18"/>
      <c r="E74" s="17"/>
      <c r="F74" s="17"/>
      <c r="G74" s="17"/>
      <c r="H74" s="17"/>
      <c r="I74" s="17"/>
      <c r="J74" s="1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" customHeight="1">
      <c r="A75" s="28"/>
      <c r="B75" s="25"/>
      <c r="C75" s="26"/>
      <c r="D75" s="26"/>
      <c r="E75" s="25"/>
      <c r="F75" s="25"/>
      <c r="G75" s="25"/>
      <c r="H75" s="25"/>
      <c r="I75" s="25"/>
      <c r="J75" s="2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" customHeight="1">
      <c r="A76" s="29"/>
      <c r="B76" s="17"/>
      <c r="C76" s="18"/>
      <c r="D76" s="18"/>
      <c r="E76" s="17"/>
      <c r="F76" s="17"/>
      <c r="G76" s="17"/>
      <c r="H76" s="17"/>
      <c r="I76" s="17"/>
      <c r="J76" s="1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" customHeight="1">
      <c r="A77" s="28"/>
      <c r="B77" s="25"/>
      <c r="C77" s="26"/>
      <c r="D77" s="26"/>
      <c r="E77" s="25"/>
      <c r="F77" s="25"/>
      <c r="G77" s="25"/>
      <c r="H77" s="25"/>
      <c r="I77" s="25"/>
      <c r="J77" s="2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" customHeight="1">
      <c r="A78" s="29"/>
      <c r="B78" s="17"/>
      <c r="C78" s="18"/>
      <c r="D78" s="18"/>
      <c r="E78" s="17"/>
      <c r="F78" s="17"/>
      <c r="G78" s="17"/>
      <c r="H78" s="17"/>
      <c r="I78" s="17"/>
      <c r="J78" s="1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" customHeight="1">
      <c r="A79" s="28"/>
      <c r="B79" s="25"/>
      <c r="C79" s="26"/>
      <c r="D79" s="26"/>
      <c r="E79" s="25"/>
      <c r="F79" s="25"/>
      <c r="G79" s="25"/>
      <c r="H79" s="25"/>
      <c r="I79" s="25"/>
      <c r="J79" s="2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" customHeight="1">
      <c r="A80" s="29"/>
      <c r="B80" s="17"/>
      <c r="C80" s="18"/>
      <c r="D80" s="18"/>
      <c r="E80" s="17"/>
      <c r="F80" s="17"/>
      <c r="G80" s="17"/>
      <c r="H80" s="17"/>
      <c r="I80" s="17"/>
      <c r="J80" s="1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" customHeight="1">
      <c r="A81" s="28"/>
      <c r="B81" s="25"/>
      <c r="C81" s="26"/>
      <c r="D81" s="26"/>
      <c r="E81" s="25"/>
      <c r="F81" s="25"/>
      <c r="G81" s="25"/>
      <c r="H81" s="25"/>
      <c r="I81" s="25"/>
      <c r="J81" s="2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" customHeight="1">
      <c r="A82" s="29"/>
      <c r="B82" s="17"/>
      <c r="C82" s="18"/>
      <c r="D82" s="18"/>
      <c r="E82" s="17"/>
      <c r="F82" s="17"/>
      <c r="G82" s="17"/>
      <c r="H82" s="17"/>
      <c r="I82" s="17"/>
      <c r="J82" s="1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" customHeight="1">
      <c r="A83" s="28"/>
      <c r="B83" s="25"/>
      <c r="C83" s="26"/>
      <c r="D83" s="26"/>
      <c r="E83" s="25"/>
      <c r="F83" s="25"/>
      <c r="G83" s="25"/>
      <c r="H83" s="25"/>
      <c r="I83" s="25"/>
      <c r="J83" s="2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" customHeight="1">
      <c r="A84" s="29"/>
      <c r="B84" s="17"/>
      <c r="C84" s="18"/>
      <c r="D84" s="18"/>
      <c r="E84" s="17"/>
      <c r="F84" s="17"/>
      <c r="G84" s="17"/>
      <c r="H84" s="17"/>
      <c r="I84" s="17"/>
      <c r="J84" s="1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" customHeight="1">
      <c r="A85" s="28"/>
      <c r="B85" s="25"/>
      <c r="C85" s="26"/>
      <c r="D85" s="26"/>
      <c r="E85" s="25"/>
      <c r="F85" s="25"/>
      <c r="G85" s="25"/>
      <c r="H85" s="25"/>
      <c r="I85" s="25"/>
      <c r="J85" s="2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" customHeight="1">
      <c r="A86" s="29"/>
      <c r="B86" s="17"/>
      <c r="C86" s="18"/>
      <c r="D86" s="18"/>
      <c r="E86" s="17"/>
      <c r="F86" s="17"/>
      <c r="G86" s="17"/>
      <c r="H86" s="17"/>
      <c r="I86" s="17"/>
      <c r="J86" s="1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" customHeight="1">
      <c r="A87" s="28"/>
      <c r="B87" s="25"/>
      <c r="C87" s="26"/>
      <c r="D87" s="26"/>
      <c r="E87" s="25"/>
      <c r="F87" s="25"/>
      <c r="G87" s="25"/>
      <c r="H87" s="25"/>
      <c r="I87" s="25"/>
      <c r="J87" s="2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" customHeight="1">
      <c r="A88" s="29"/>
      <c r="B88" s="17"/>
      <c r="C88" s="18"/>
      <c r="D88" s="18"/>
      <c r="E88" s="17"/>
      <c r="F88" s="17"/>
      <c r="G88" s="17"/>
      <c r="H88" s="17"/>
      <c r="I88" s="17"/>
      <c r="J88" s="1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" customHeight="1">
      <c r="A89" s="28"/>
      <c r="B89" s="25"/>
      <c r="C89" s="26"/>
      <c r="D89" s="26"/>
      <c r="E89" s="25"/>
      <c r="F89" s="25"/>
      <c r="G89" s="25"/>
      <c r="H89" s="25"/>
      <c r="I89" s="25"/>
      <c r="J89" s="2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" customHeight="1">
      <c r="A90" s="29"/>
      <c r="B90" s="17"/>
      <c r="C90" s="18"/>
      <c r="D90" s="18"/>
      <c r="E90" s="17"/>
      <c r="F90" s="17"/>
      <c r="G90" s="17"/>
      <c r="H90" s="17"/>
      <c r="I90" s="17"/>
      <c r="J90" s="1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" customHeight="1">
      <c r="A91" s="28"/>
      <c r="B91" s="25"/>
      <c r="C91" s="26"/>
      <c r="D91" s="26"/>
      <c r="E91" s="25"/>
      <c r="F91" s="25"/>
      <c r="G91" s="25"/>
      <c r="H91" s="25"/>
      <c r="I91" s="25"/>
      <c r="J91" s="2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" customHeight="1">
      <c r="A92" s="29"/>
      <c r="B92" s="17"/>
      <c r="C92" s="18"/>
      <c r="D92" s="18"/>
      <c r="E92" s="17"/>
      <c r="F92" s="17"/>
      <c r="G92" s="17"/>
      <c r="H92" s="17"/>
      <c r="I92" s="17"/>
      <c r="J92" s="1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" customHeight="1">
      <c r="A93" s="28"/>
      <c r="B93" s="25"/>
      <c r="C93" s="26"/>
      <c r="D93" s="26"/>
      <c r="E93" s="25"/>
      <c r="F93" s="25"/>
      <c r="G93" s="25"/>
      <c r="H93" s="25"/>
      <c r="I93" s="25"/>
      <c r="J93" s="2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" customHeight="1">
      <c r="A94" s="29"/>
      <c r="B94" s="17"/>
      <c r="C94" s="18"/>
      <c r="D94" s="18"/>
      <c r="E94" s="17"/>
      <c r="F94" s="17"/>
      <c r="G94" s="17"/>
      <c r="H94" s="17"/>
      <c r="I94" s="17"/>
      <c r="J94" s="1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" customHeight="1">
      <c r="A95" s="28"/>
      <c r="B95" s="25"/>
      <c r="C95" s="26"/>
      <c r="D95" s="26"/>
      <c r="E95" s="25"/>
      <c r="F95" s="25"/>
      <c r="G95" s="25"/>
      <c r="H95" s="25"/>
      <c r="I95" s="25"/>
      <c r="J95" s="2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" customHeight="1">
      <c r="A96" s="29"/>
      <c r="B96" s="17"/>
      <c r="C96" s="18"/>
      <c r="D96" s="18"/>
      <c r="E96" s="17"/>
      <c r="F96" s="17"/>
      <c r="G96" s="17"/>
      <c r="H96" s="17"/>
      <c r="I96" s="17"/>
      <c r="J96" s="1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" customHeight="1">
      <c r="A97" s="28"/>
      <c r="B97" s="25"/>
      <c r="C97" s="26"/>
      <c r="D97" s="26"/>
      <c r="E97" s="25"/>
      <c r="F97" s="25"/>
      <c r="G97" s="25"/>
      <c r="H97" s="25"/>
      <c r="I97" s="25"/>
      <c r="J97" s="2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" customHeight="1">
      <c r="A98" s="29"/>
      <c r="B98" s="17"/>
      <c r="C98" s="18"/>
      <c r="D98" s="18"/>
      <c r="E98" s="17"/>
      <c r="F98" s="17"/>
      <c r="G98" s="17"/>
      <c r="H98" s="17"/>
      <c r="I98" s="17"/>
      <c r="J98" s="1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" customHeight="1">
      <c r="A99" s="28"/>
      <c r="B99" s="25"/>
      <c r="C99" s="26"/>
      <c r="D99" s="26"/>
      <c r="E99" s="25"/>
      <c r="F99" s="25"/>
      <c r="G99" s="25"/>
      <c r="H99" s="25"/>
      <c r="I99" s="25"/>
      <c r="J99" s="2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" customHeight="1">
      <c r="A100" s="29"/>
      <c r="B100" s="17"/>
      <c r="C100" s="18"/>
      <c r="D100" s="18"/>
      <c r="E100" s="17"/>
      <c r="F100" s="17"/>
      <c r="G100" s="17"/>
      <c r="H100" s="17"/>
      <c r="I100" s="17"/>
      <c r="J100" s="1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" customHeight="1">
      <c r="A101" s="28"/>
      <c r="B101" s="25"/>
      <c r="C101" s="26"/>
      <c r="D101" s="26"/>
      <c r="E101" s="25"/>
      <c r="F101" s="25"/>
      <c r="G101" s="25"/>
      <c r="H101" s="25"/>
      <c r="I101" s="25"/>
      <c r="J101" s="2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" customHeight="1">
      <c r="A102" s="29"/>
      <c r="B102" s="17"/>
      <c r="C102" s="18"/>
      <c r="D102" s="18"/>
      <c r="E102" s="17"/>
      <c r="F102" s="17"/>
      <c r="G102" s="17"/>
      <c r="H102" s="17"/>
      <c r="I102" s="17"/>
      <c r="J102" s="1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" customHeight="1">
      <c r="A103" s="28"/>
      <c r="B103" s="25"/>
      <c r="C103" s="26"/>
      <c r="D103" s="26"/>
      <c r="E103" s="25"/>
      <c r="F103" s="25"/>
      <c r="G103" s="25"/>
      <c r="H103" s="25"/>
      <c r="I103" s="25"/>
      <c r="J103" s="2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" customHeight="1">
      <c r="A104" s="30"/>
      <c r="B104" s="20"/>
      <c r="C104" s="21"/>
      <c r="D104" s="21"/>
      <c r="E104" s="20"/>
      <c r="F104" s="20"/>
      <c r="G104" s="20"/>
      <c r="H104" s="20"/>
      <c r="I104" s="20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mergeCells count="2">
    <mergeCell ref="A1:J1"/>
    <mergeCell ref="A2:J2"/>
  </mergeCells>
  <conditionalFormatting sqref="I5:I104">
    <cfRule type="expression" dxfId="7" priority="1">
      <formula>I5="Yes"</formula>
    </cfRule>
    <cfRule type="expression" dxfId="6" priority="2">
      <formula>I5="Partly"</formula>
    </cfRule>
    <cfRule type="expression" dxfId="5" priority="3">
      <formula>I5="No"</formula>
    </cfRule>
  </conditionalFormatting>
  <dataValidations count="1">
    <dataValidation type="list" sqref="I5:I104" xr:uid="{00000000-0002-0000-0900-000000000000}">
      <formula1>"Yes,Partly,No"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900-000001000000}">
          <x14:formula1>
            <xm:f>Lists!$C$5:$C$8</xm:f>
          </x14:formula1>
          <xm:sqref>B5:B104</xm:sqref>
        </x14:dataValidation>
        <x14:dataValidation type="list" xr:uid="{00000000-0002-0000-0900-000002000000}">
          <x14:formula1>
            <xm:f>Lists!$D$5:$D$13</xm:f>
          </x14:formula1>
          <xm:sqref>E5:E104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374B"/>
  </sheetPr>
  <dimension ref="A1:Z250"/>
  <sheetViews>
    <sheetView showGridLines="0" tabSelected="1" zoomScale="80" zoomScaleNormal="80" workbookViewId="0">
      <pane ySplit="4" topLeftCell="A20" activePane="bottomLeft" state="frozen"/>
      <selection pane="bottomLeft" activeCell="G28" sqref="G28"/>
    </sheetView>
  </sheetViews>
  <sheetFormatPr defaultRowHeight="13.8"/>
  <cols>
    <col min="1" max="1" width="12" bestFit="1" customWidth="1"/>
    <col min="2" max="2" width="13" bestFit="1" customWidth="1"/>
    <col min="3" max="3" width="17.47265625" bestFit="1" customWidth="1"/>
    <col min="4" max="4" width="25.6171875" bestFit="1" customWidth="1"/>
    <col min="5" max="5" width="15.140625" bestFit="1" customWidth="1"/>
    <col min="6" max="6" width="16.140625" bestFit="1" customWidth="1"/>
    <col min="7" max="7" width="21.37890625" bestFit="1" customWidth="1"/>
    <col min="8" max="8" width="19" bestFit="1" customWidth="1"/>
    <col min="9" max="9" width="20" bestFit="1" customWidth="1"/>
  </cols>
  <sheetData>
    <row r="1" spans="1:26" ht="38.1" customHeight="1">
      <c r="A1" s="60" t="s">
        <v>97</v>
      </c>
      <c r="B1" s="61"/>
      <c r="C1" s="61"/>
      <c r="D1" s="61"/>
      <c r="E1" s="61"/>
      <c r="F1" s="61"/>
      <c r="G1" s="61"/>
      <c r="H1" s="61"/>
      <c r="I1" s="62"/>
    </row>
    <row r="2" spans="1:26" ht="30" customHeight="1">
      <c r="A2" s="63" t="s">
        <v>98</v>
      </c>
      <c r="B2" s="64"/>
      <c r="C2" s="64"/>
      <c r="D2" s="64"/>
      <c r="E2" s="64"/>
      <c r="F2" s="64"/>
      <c r="G2" s="64"/>
      <c r="H2" s="64"/>
      <c r="I2" s="65"/>
    </row>
    <row r="3" spans="1:26" ht="25" customHeight="1">
      <c r="A3" s="2"/>
      <c r="B3" s="3"/>
      <c r="C3" s="3"/>
      <c r="D3" s="3"/>
      <c r="E3" s="3"/>
      <c r="F3" s="3"/>
      <c r="G3" s="3"/>
      <c r="H3" s="3"/>
      <c r="I3" s="4"/>
    </row>
    <row r="4" spans="1:26" ht="14.1">
      <c r="A4" s="57" t="s">
        <v>26</v>
      </c>
      <c r="B4" s="58" t="s">
        <v>8</v>
      </c>
      <c r="C4" s="58" t="s">
        <v>44</v>
      </c>
      <c r="D4" s="58" t="s">
        <v>99</v>
      </c>
      <c r="E4" s="58" t="s">
        <v>100</v>
      </c>
      <c r="F4" s="58" t="s">
        <v>46</v>
      </c>
      <c r="G4" s="58" t="s">
        <v>101</v>
      </c>
      <c r="H4" s="58" t="s">
        <v>102</v>
      </c>
      <c r="I4" s="59" t="s">
        <v>103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8">
        <v>46271</v>
      </c>
      <c r="B5" s="25" t="s">
        <v>38</v>
      </c>
      <c r="C5" s="25" t="s">
        <v>15</v>
      </c>
      <c r="D5" s="25">
        <v>420</v>
      </c>
      <c r="E5" s="42">
        <v>1</v>
      </c>
      <c r="F5" s="25" t="s">
        <v>61</v>
      </c>
      <c r="G5" s="25" t="s">
        <v>104</v>
      </c>
      <c r="H5" s="25" t="s">
        <v>105</v>
      </c>
      <c r="I5" s="27" t="s">
        <v>106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9">
        <v>46271</v>
      </c>
      <c r="B6" s="17" t="s">
        <v>37</v>
      </c>
      <c r="C6" s="17" t="s">
        <v>15</v>
      </c>
      <c r="D6" s="17">
        <v>447</v>
      </c>
      <c r="E6" s="40">
        <v>0</v>
      </c>
      <c r="F6" s="17" t="s">
        <v>49</v>
      </c>
      <c r="G6" s="17" t="s">
        <v>59</v>
      </c>
      <c r="H6" s="17" t="s">
        <v>107</v>
      </c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8">
        <v>46271</v>
      </c>
      <c r="B7" s="25" t="s">
        <v>32</v>
      </c>
      <c r="C7" s="25" t="s">
        <v>15</v>
      </c>
      <c r="D7" s="25">
        <v>546</v>
      </c>
      <c r="E7" s="42">
        <v>0.5</v>
      </c>
      <c r="F7" s="25" t="s">
        <v>56</v>
      </c>
      <c r="G7" s="25" t="s">
        <v>59</v>
      </c>
      <c r="H7" s="25" t="s">
        <v>108</v>
      </c>
      <c r="I7" s="2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" customHeight="1">
      <c r="A8" s="28">
        <v>46277</v>
      </c>
      <c r="B8" s="17" t="s">
        <v>37</v>
      </c>
      <c r="C8" s="17" t="s">
        <v>15</v>
      </c>
      <c r="D8" s="54" t="s">
        <v>205</v>
      </c>
      <c r="E8" s="40">
        <v>1</v>
      </c>
      <c r="F8" s="17" t="s">
        <v>61</v>
      </c>
      <c r="G8" s="17" t="s">
        <v>104</v>
      </c>
      <c r="H8" s="17" t="s">
        <v>105</v>
      </c>
      <c r="I8" s="19" t="s">
        <v>106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" customHeight="1">
      <c r="A9" s="28">
        <v>46277</v>
      </c>
      <c r="B9" s="25" t="s">
        <v>32</v>
      </c>
      <c r="C9" s="25" t="s">
        <v>15</v>
      </c>
      <c r="D9" s="55">
        <v>547</v>
      </c>
      <c r="E9" s="42">
        <v>0.7</v>
      </c>
      <c r="F9" s="25" t="s">
        <v>56</v>
      </c>
      <c r="G9" s="25" t="s">
        <v>206</v>
      </c>
      <c r="H9" s="25" t="s">
        <v>207</v>
      </c>
      <c r="I9" s="2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" customHeight="1">
      <c r="A10" s="28">
        <v>46277</v>
      </c>
      <c r="B10" s="17" t="s">
        <v>38</v>
      </c>
      <c r="C10" s="17" t="s">
        <v>15</v>
      </c>
      <c r="D10" s="56" t="s">
        <v>208</v>
      </c>
      <c r="E10" s="40">
        <v>0.9</v>
      </c>
      <c r="F10" s="17" t="s">
        <v>60</v>
      </c>
      <c r="G10" s="17" t="s">
        <v>104</v>
      </c>
      <c r="H10" s="17" t="s">
        <v>209</v>
      </c>
      <c r="I10" s="19" t="s">
        <v>106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" customHeight="1">
      <c r="A11" s="28">
        <v>46278</v>
      </c>
      <c r="B11" s="25" t="s">
        <v>38</v>
      </c>
      <c r="C11" s="25" t="s">
        <v>15</v>
      </c>
      <c r="D11" s="25">
        <v>423</v>
      </c>
      <c r="E11" s="42">
        <v>0.8</v>
      </c>
      <c r="F11" s="25" t="s">
        <v>60</v>
      </c>
      <c r="G11" s="25" t="s">
        <v>206</v>
      </c>
      <c r="H11" s="25" t="s">
        <v>209</v>
      </c>
      <c r="I11" s="27" t="s">
        <v>106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>
      <c r="A12" s="28">
        <v>46278</v>
      </c>
      <c r="B12" s="17" t="s">
        <v>32</v>
      </c>
      <c r="C12" s="17" t="s">
        <v>15</v>
      </c>
      <c r="D12" s="17">
        <v>548</v>
      </c>
      <c r="E12" s="40">
        <v>0.9</v>
      </c>
      <c r="F12" s="17" t="s">
        <v>60</v>
      </c>
      <c r="G12" s="17" t="s">
        <v>206</v>
      </c>
      <c r="H12" s="17" t="s">
        <v>209</v>
      </c>
      <c r="I12" s="19" t="s">
        <v>106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>
      <c r="A13" s="28">
        <v>46278</v>
      </c>
      <c r="B13" s="25" t="s">
        <v>37</v>
      </c>
      <c r="C13" s="25" t="s">
        <v>15</v>
      </c>
      <c r="D13" s="25">
        <v>449</v>
      </c>
      <c r="E13" s="42">
        <v>1</v>
      </c>
      <c r="F13" s="25" t="s">
        <v>61</v>
      </c>
      <c r="G13" s="25" t="s">
        <v>104</v>
      </c>
      <c r="H13" s="25" t="s">
        <v>105</v>
      </c>
      <c r="I13" s="27" t="s">
        <v>106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" customHeight="1">
      <c r="A14" s="29">
        <v>46284</v>
      </c>
      <c r="B14" s="17" t="s">
        <v>32</v>
      </c>
      <c r="C14" s="17" t="s">
        <v>15</v>
      </c>
      <c r="D14" s="56" t="s">
        <v>210</v>
      </c>
      <c r="E14" s="40">
        <v>0.8</v>
      </c>
      <c r="F14" s="17" t="s">
        <v>60</v>
      </c>
      <c r="G14" s="17" t="s">
        <v>206</v>
      </c>
      <c r="H14" s="17" t="s">
        <v>209</v>
      </c>
      <c r="I14" s="19" t="s">
        <v>106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" customHeight="1">
      <c r="A15" s="28">
        <v>46284</v>
      </c>
      <c r="B15" s="25" t="s">
        <v>38</v>
      </c>
      <c r="C15" s="25" t="s">
        <v>15</v>
      </c>
      <c r="D15" s="25">
        <v>424</v>
      </c>
      <c r="E15" s="42">
        <v>0.9</v>
      </c>
      <c r="F15" s="25" t="s">
        <v>60</v>
      </c>
      <c r="G15" s="25" t="s">
        <v>206</v>
      </c>
      <c r="H15" s="25" t="s">
        <v>209</v>
      </c>
      <c r="I15" s="27" t="s">
        <v>106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>
      <c r="A16" s="29">
        <v>46284</v>
      </c>
      <c r="B16" s="17" t="s">
        <v>37</v>
      </c>
      <c r="C16" s="17" t="s">
        <v>15</v>
      </c>
      <c r="D16" s="17" t="s">
        <v>211</v>
      </c>
      <c r="E16" s="40">
        <v>0</v>
      </c>
      <c r="F16" s="17" t="s">
        <v>49</v>
      </c>
      <c r="G16" s="17" t="s">
        <v>59</v>
      </c>
      <c r="H16" s="17" t="s">
        <v>53</v>
      </c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" customHeight="1">
      <c r="A17" s="28">
        <v>46285</v>
      </c>
      <c r="B17" s="25" t="s">
        <v>32</v>
      </c>
      <c r="C17" s="25" t="s">
        <v>15</v>
      </c>
      <c r="D17" s="25">
        <v>542</v>
      </c>
      <c r="E17" s="42">
        <v>0.2</v>
      </c>
      <c r="F17" s="25" t="s">
        <v>56</v>
      </c>
      <c r="G17" s="25" t="s">
        <v>59</v>
      </c>
      <c r="H17" s="25"/>
      <c r="I17" s="2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" customHeight="1">
      <c r="A18" s="29">
        <v>46285</v>
      </c>
      <c r="B18" s="17" t="s">
        <v>37</v>
      </c>
      <c r="C18" s="17" t="s">
        <v>15</v>
      </c>
      <c r="D18" s="17">
        <v>450</v>
      </c>
      <c r="E18" s="40">
        <v>0.5</v>
      </c>
      <c r="F18" s="17" t="s">
        <v>56</v>
      </c>
      <c r="G18" s="17" t="s">
        <v>59</v>
      </c>
      <c r="H18" s="17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" customHeight="1">
      <c r="A19" s="28">
        <v>46285</v>
      </c>
      <c r="B19" s="25" t="s">
        <v>38</v>
      </c>
      <c r="C19" s="25" t="s">
        <v>15</v>
      </c>
      <c r="D19" s="25">
        <v>425</v>
      </c>
      <c r="E19" s="42">
        <v>1</v>
      </c>
      <c r="F19" s="25" t="s">
        <v>61</v>
      </c>
      <c r="G19" s="25" t="s">
        <v>104</v>
      </c>
      <c r="H19" s="25"/>
      <c r="I19" s="2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" customHeight="1">
      <c r="A20" s="29">
        <v>46291</v>
      </c>
      <c r="B20" s="17" t="s">
        <v>32</v>
      </c>
      <c r="C20" s="17" t="s">
        <v>15</v>
      </c>
      <c r="D20" s="17">
        <v>542</v>
      </c>
      <c r="E20" s="40">
        <v>0</v>
      </c>
      <c r="F20" s="17" t="s">
        <v>49</v>
      </c>
      <c r="G20" s="17" t="s">
        <v>59</v>
      </c>
      <c r="H20" s="17" t="s">
        <v>57</v>
      </c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>
      <c r="A21" s="28">
        <v>46291</v>
      </c>
      <c r="B21" s="25" t="s">
        <v>37</v>
      </c>
      <c r="C21" s="25" t="s">
        <v>15</v>
      </c>
      <c r="D21" s="25">
        <v>450</v>
      </c>
      <c r="E21" s="42">
        <v>0</v>
      </c>
      <c r="F21" s="25" t="s">
        <v>49</v>
      </c>
      <c r="G21" s="25" t="s">
        <v>59</v>
      </c>
      <c r="H21" s="25" t="s">
        <v>57</v>
      </c>
      <c r="I21" s="2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>
      <c r="A22" s="29">
        <v>46291</v>
      </c>
      <c r="B22" s="17" t="s">
        <v>38</v>
      </c>
      <c r="C22" s="17" t="s">
        <v>15</v>
      </c>
      <c r="D22" s="17">
        <v>426</v>
      </c>
      <c r="E22" s="40">
        <v>0</v>
      </c>
      <c r="F22" s="17" t="s">
        <v>49</v>
      </c>
      <c r="G22" s="17" t="s">
        <v>59</v>
      </c>
      <c r="H22" s="17" t="s">
        <v>57</v>
      </c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>
      <c r="A23" s="28">
        <v>46292</v>
      </c>
      <c r="B23" s="25" t="s">
        <v>38</v>
      </c>
      <c r="C23" s="25" t="s">
        <v>15</v>
      </c>
      <c r="D23" s="25">
        <v>426</v>
      </c>
      <c r="E23" s="42">
        <v>1</v>
      </c>
      <c r="F23" s="25" t="s">
        <v>61</v>
      </c>
      <c r="G23" s="25"/>
      <c r="H23" s="25"/>
      <c r="I23" s="2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>
      <c r="A24" s="29">
        <v>46292</v>
      </c>
      <c r="B24" s="17" t="s">
        <v>37</v>
      </c>
      <c r="C24" s="17" t="s">
        <v>15</v>
      </c>
      <c r="D24" s="17">
        <v>450</v>
      </c>
      <c r="E24" s="40">
        <v>0.5</v>
      </c>
      <c r="F24" s="17" t="s">
        <v>56</v>
      </c>
      <c r="G24" s="17"/>
      <c r="H24" s="17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" customHeight="1">
      <c r="A25" s="28">
        <v>46292</v>
      </c>
      <c r="B25" s="25" t="s">
        <v>32</v>
      </c>
      <c r="C25" s="25" t="s">
        <v>15</v>
      </c>
      <c r="D25" s="25">
        <v>542</v>
      </c>
      <c r="E25" s="42">
        <v>0.5</v>
      </c>
      <c r="F25" s="25" t="s">
        <v>56</v>
      </c>
      <c r="G25" s="25"/>
      <c r="H25" s="25"/>
      <c r="I25" s="2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" customHeight="1">
      <c r="A26" s="29">
        <v>46312</v>
      </c>
      <c r="B26" s="17" t="s">
        <v>37</v>
      </c>
      <c r="C26" s="17" t="s">
        <v>15</v>
      </c>
      <c r="D26" s="17">
        <v>451</v>
      </c>
      <c r="E26" s="40">
        <v>1</v>
      </c>
      <c r="F26" s="17" t="s">
        <v>61</v>
      </c>
      <c r="G26" s="17" t="s">
        <v>104</v>
      </c>
      <c r="H26" s="17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" customHeight="1">
      <c r="A27" s="28">
        <v>46312</v>
      </c>
      <c r="B27" s="25" t="s">
        <v>38</v>
      </c>
      <c r="C27" s="25" t="s">
        <v>15</v>
      </c>
      <c r="D27" s="25">
        <v>542</v>
      </c>
      <c r="E27" s="42">
        <v>0.8</v>
      </c>
      <c r="F27" s="25" t="s">
        <v>60</v>
      </c>
      <c r="G27" s="25" t="s">
        <v>206</v>
      </c>
      <c r="H27" s="25"/>
      <c r="I27" s="2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>
      <c r="A28" s="29">
        <v>46312</v>
      </c>
      <c r="B28" s="17" t="s">
        <v>32</v>
      </c>
      <c r="C28" s="17" t="s">
        <v>15</v>
      </c>
      <c r="D28" s="17">
        <v>425</v>
      </c>
      <c r="E28" s="40">
        <v>1</v>
      </c>
      <c r="F28" s="17" t="s">
        <v>61</v>
      </c>
      <c r="G28" s="17" t="s">
        <v>104</v>
      </c>
      <c r="H28" s="17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>
      <c r="A29" s="28"/>
      <c r="B29" s="25"/>
      <c r="C29" s="25"/>
      <c r="D29" s="25"/>
      <c r="E29" s="42"/>
      <c r="F29" s="25"/>
      <c r="G29" s="25"/>
      <c r="H29" s="25"/>
      <c r="I29" s="2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>
      <c r="A30" s="29"/>
      <c r="B30" s="17"/>
      <c r="C30" s="17"/>
      <c r="D30" s="17"/>
      <c r="E30" s="40"/>
      <c r="F30" s="17"/>
      <c r="G30" s="17"/>
      <c r="H30" s="17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" customHeight="1">
      <c r="A31" s="28"/>
      <c r="B31" s="25"/>
      <c r="C31" s="25"/>
      <c r="D31" s="25"/>
      <c r="E31" s="42"/>
      <c r="F31" s="25"/>
      <c r="G31" s="25"/>
      <c r="H31" s="25"/>
      <c r="I31" s="2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" customHeight="1">
      <c r="A32" s="29"/>
      <c r="B32" s="17"/>
      <c r="C32" s="17"/>
      <c r="D32" s="17"/>
      <c r="E32" s="40"/>
      <c r="F32" s="17"/>
      <c r="G32" s="17"/>
      <c r="H32" s="17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>
      <c r="A33" s="28"/>
      <c r="B33" s="25"/>
      <c r="C33" s="25"/>
      <c r="D33" s="25"/>
      <c r="E33" s="42"/>
      <c r="F33" s="25"/>
      <c r="G33" s="25"/>
      <c r="H33" s="25"/>
      <c r="I33" s="2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" customHeight="1">
      <c r="A34" s="29"/>
      <c r="B34" s="17"/>
      <c r="C34" s="17"/>
      <c r="D34" s="17"/>
      <c r="E34" s="40"/>
      <c r="F34" s="17"/>
      <c r="G34" s="17"/>
      <c r="H34" s="17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" customHeight="1">
      <c r="A35" s="28"/>
      <c r="B35" s="25"/>
      <c r="C35" s="25"/>
      <c r="D35" s="25"/>
      <c r="E35" s="42"/>
      <c r="F35" s="25"/>
      <c r="G35" s="25"/>
      <c r="H35" s="25"/>
      <c r="I35" s="2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" customHeight="1">
      <c r="A36" s="29"/>
      <c r="B36" s="17"/>
      <c r="C36" s="17"/>
      <c r="D36" s="17"/>
      <c r="E36" s="40"/>
      <c r="F36" s="17"/>
      <c r="G36" s="17"/>
      <c r="H36" s="17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" customHeight="1">
      <c r="A37" s="28"/>
      <c r="B37" s="25"/>
      <c r="C37" s="25"/>
      <c r="D37" s="25"/>
      <c r="E37" s="42"/>
      <c r="F37" s="25"/>
      <c r="G37" s="25"/>
      <c r="H37" s="25"/>
      <c r="I37" s="2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>
      <c r="A38" s="29"/>
      <c r="B38" s="17"/>
      <c r="C38" s="17"/>
      <c r="D38" s="17"/>
      <c r="E38" s="40"/>
      <c r="F38" s="17"/>
      <c r="G38" s="17"/>
      <c r="H38" s="17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>
      <c r="A39" s="28"/>
      <c r="B39" s="25"/>
      <c r="C39" s="25"/>
      <c r="D39" s="25"/>
      <c r="E39" s="42"/>
      <c r="F39" s="25"/>
      <c r="G39" s="25"/>
      <c r="H39" s="25"/>
      <c r="I39" s="2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>
      <c r="A40" s="29"/>
      <c r="B40" s="17"/>
      <c r="C40" s="17"/>
      <c r="D40" s="17"/>
      <c r="E40" s="40"/>
      <c r="F40" s="17"/>
      <c r="G40" s="17"/>
      <c r="H40" s="17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>
      <c r="A41" s="28"/>
      <c r="B41" s="25"/>
      <c r="C41" s="25"/>
      <c r="D41" s="25"/>
      <c r="E41" s="42"/>
      <c r="F41" s="25"/>
      <c r="G41" s="25"/>
      <c r="H41" s="25"/>
      <c r="I41" s="2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" customHeight="1">
      <c r="A42" s="29"/>
      <c r="B42" s="17"/>
      <c r="C42" s="17"/>
      <c r="D42" s="17"/>
      <c r="E42" s="40"/>
      <c r="F42" s="17"/>
      <c r="G42" s="17"/>
      <c r="H42" s="17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" customHeight="1">
      <c r="A43" s="28"/>
      <c r="B43" s="25"/>
      <c r="C43" s="25"/>
      <c r="D43" s="25"/>
      <c r="E43" s="42"/>
      <c r="F43" s="25"/>
      <c r="G43" s="25"/>
      <c r="H43" s="25"/>
      <c r="I43" s="2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" customHeight="1">
      <c r="A44" s="29"/>
      <c r="B44" s="17"/>
      <c r="C44" s="17"/>
      <c r="D44" s="17"/>
      <c r="E44" s="40"/>
      <c r="F44" s="17"/>
      <c r="G44" s="17"/>
      <c r="H44" s="17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>
      <c r="A45" s="28"/>
      <c r="B45" s="25"/>
      <c r="C45" s="25"/>
      <c r="D45" s="25"/>
      <c r="E45" s="42"/>
      <c r="F45" s="25"/>
      <c r="G45" s="25"/>
      <c r="H45" s="25"/>
      <c r="I45" s="2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>
      <c r="A46" s="29"/>
      <c r="B46" s="17"/>
      <c r="C46" s="17"/>
      <c r="D46" s="17"/>
      <c r="E46" s="40"/>
      <c r="F46" s="17"/>
      <c r="G46" s="17"/>
      <c r="H46" s="17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>
      <c r="A47" s="28"/>
      <c r="B47" s="25"/>
      <c r="C47" s="25"/>
      <c r="D47" s="25"/>
      <c r="E47" s="42"/>
      <c r="F47" s="25"/>
      <c r="G47" s="25"/>
      <c r="H47" s="25"/>
      <c r="I47" s="2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" customHeight="1">
      <c r="A48" s="29"/>
      <c r="B48" s="17"/>
      <c r="C48" s="17"/>
      <c r="D48" s="17"/>
      <c r="E48" s="40"/>
      <c r="F48" s="17"/>
      <c r="G48" s="17"/>
      <c r="H48" s="17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" customHeight="1">
      <c r="A49" s="28"/>
      <c r="B49" s="25"/>
      <c r="C49" s="25"/>
      <c r="D49" s="25"/>
      <c r="E49" s="42"/>
      <c r="F49" s="25"/>
      <c r="G49" s="25"/>
      <c r="H49" s="25"/>
      <c r="I49" s="2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>
      <c r="A50" s="29"/>
      <c r="B50" s="17"/>
      <c r="C50" s="17"/>
      <c r="D50" s="17"/>
      <c r="E50" s="40"/>
      <c r="F50" s="17"/>
      <c r="G50" s="17"/>
      <c r="H50" s="17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" customHeight="1">
      <c r="A51" s="28"/>
      <c r="B51" s="25"/>
      <c r="C51" s="25"/>
      <c r="D51" s="25"/>
      <c r="E51" s="42"/>
      <c r="F51" s="25"/>
      <c r="G51" s="25"/>
      <c r="H51" s="25"/>
      <c r="I51" s="2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" customHeight="1">
      <c r="A52" s="29"/>
      <c r="B52" s="17"/>
      <c r="C52" s="17"/>
      <c r="D52" s="17"/>
      <c r="E52" s="40"/>
      <c r="F52" s="17"/>
      <c r="G52" s="17"/>
      <c r="H52" s="17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" customHeight="1">
      <c r="A53" s="28"/>
      <c r="B53" s="25"/>
      <c r="C53" s="25"/>
      <c r="D53" s="25"/>
      <c r="E53" s="42"/>
      <c r="F53" s="25"/>
      <c r="G53" s="25"/>
      <c r="H53" s="25"/>
      <c r="I53" s="2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" customHeight="1">
      <c r="A54" s="29"/>
      <c r="B54" s="17"/>
      <c r="C54" s="17"/>
      <c r="D54" s="17"/>
      <c r="E54" s="40"/>
      <c r="F54" s="17"/>
      <c r="G54" s="17"/>
      <c r="H54" s="17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>
      <c r="A55" s="28"/>
      <c r="B55" s="25"/>
      <c r="C55" s="25"/>
      <c r="D55" s="25"/>
      <c r="E55" s="42"/>
      <c r="F55" s="25"/>
      <c r="G55" s="25"/>
      <c r="H55" s="25"/>
      <c r="I55" s="2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>
      <c r="A56" s="29"/>
      <c r="B56" s="17"/>
      <c r="C56" s="17"/>
      <c r="D56" s="17"/>
      <c r="E56" s="40"/>
      <c r="F56" s="17"/>
      <c r="G56" s="17"/>
      <c r="H56" s="17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>
      <c r="A57" s="28"/>
      <c r="B57" s="25"/>
      <c r="C57" s="25"/>
      <c r="D57" s="25"/>
      <c r="E57" s="42"/>
      <c r="F57" s="25"/>
      <c r="G57" s="25"/>
      <c r="H57" s="25"/>
      <c r="I57" s="2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>
      <c r="A58" s="29"/>
      <c r="B58" s="17"/>
      <c r="C58" s="17"/>
      <c r="D58" s="17"/>
      <c r="E58" s="40"/>
      <c r="F58" s="17"/>
      <c r="G58" s="17"/>
      <c r="H58" s="17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" customHeight="1">
      <c r="A59" s="28"/>
      <c r="B59" s="25"/>
      <c r="C59" s="25"/>
      <c r="D59" s="25"/>
      <c r="E59" s="42"/>
      <c r="F59" s="25"/>
      <c r="G59" s="25"/>
      <c r="H59" s="25"/>
      <c r="I59" s="2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" customHeight="1">
      <c r="A60" s="29"/>
      <c r="B60" s="17"/>
      <c r="C60" s="17"/>
      <c r="D60" s="17"/>
      <c r="E60" s="40"/>
      <c r="F60" s="17"/>
      <c r="G60" s="17"/>
      <c r="H60" s="17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" customHeight="1">
      <c r="A61" s="28"/>
      <c r="B61" s="25"/>
      <c r="C61" s="25"/>
      <c r="D61" s="25"/>
      <c r="E61" s="42"/>
      <c r="F61" s="25"/>
      <c r="G61" s="25"/>
      <c r="H61" s="25"/>
      <c r="I61" s="2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>
      <c r="A62" s="29"/>
      <c r="B62" s="17"/>
      <c r="C62" s="17"/>
      <c r="D62" s="17"/>
      <c r="E62" s="40"/>
      <c r="F62" s="17"/>
      <c r="G62" s="17"/>
      <c r="H62" s="17"/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" customHeight="1">
      <c r="A63" s="28"/>
      <c r="B63" s="25"/>
      <c r="C63" s="25"/>
      <c r="D63" s="25"/>
      <c r="E63" s="42"/>
      <c r="F63" s="25"/>
      <c r="G63" s="25"/>
      <c r="H63" s="25"/>
      <c r="I63" s="2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" customHeight="1">
      <c r="A64" s="29"/>
      <c r="B64" s="17"/>
      <c r="C64" s="17"/>
      <c r="D64" s="17"/>
      <c r="E64" s="40"/>
      <c r="F64" s="17"/>
      <c r="G64" s="17"/>
      <c r="H64" s="17"/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" customHeight="1">
      <c r="A65" s="28"/>
      <c r="B65" s="25"/>
      <c r="C65" s="25"/>
      <c r="D65" s="25"/>
      <c r="E65" s="42"/>
      <c r="F65" s="25"/>
      <c r="G65" s="25"/>
      <c r="H65" s="25"/>
      <c r="I65" s="2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" customHeight="1">
      <c r="A66" s="29"/>
      <c r="B66" s="17"/>
      <c r="C66" s="17"/>
      <c r="D66" s="17"/>
      <c r="E66" s="40"/>
      <c r="F66" s="17"/>
      <c r="G66" s="17"/>
      <c r="H66" s="17"/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" customHeight="1">
      <c r="A67" s="28"/>
      <c r="B67" s="25"/>
      <c r="C67" s="25"/>
      <c r="D67" s="25"/>
      <c r="E67" s="42"/>
      <c r="F67" s="25"/>
      <c r="G67" s="25"/>
      <c r="H67" s="25"/>
      <c r="I67" s="2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" customHeight="1">
      <c r="A68" s="29"/>
      <c r="B68" s="17"/>
      <c r="C68" s="17"/>
      <c r="D68" s="17"/>
      <c r="E68" s="40"/>
      <c r="F68" s="17"/>
      <c r="G68" s="17"/>
      <c r="H68" s="17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" customHeight="1">
      <c r="A69" s="28"/>
      <c r="B69" s="25"/>
      <c r="C69" s="25"/>
      <c r="D69" s="25"/>
      <c r="E69" s="42"/>
      <c r="F69" s="25"/>
      <c r="G69" s="25"/>
      <c r="H69" s="25"/>
      <c r="I69" s="2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" customHeight="1">
      <c r="A70" s="29"/>
      <c r="B70" s="17"/>
      <c r="C70" s="17"/>
      <c r="D70" s="17"/>
      <c r="E70" s="40"/>
      <c r="F70" s="17"/>
      <c r="G70" s="17"/>
      <c r="H70" s="17"/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" customHeight="1">
      <c r="A71" s="28"/>
      <c r="B71" s="25"/>
      <c r="C71" s="25"/>
      <c r="D71" s="25"/>
      <c r="E71" s="42"/>
      <c r="F71" s="25"/>
      <c r="G71" s="25"/>
      <c r="H71" s="25"/>
      <c r="I71" s="2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" customHeight="1">
      <c r="A72" s="29"/>
      <c r="B72" s="17"/>
      <c r="C72" s="17"/>
      <c r="D72" s="17"/>
      <c r="E72" s="40"/>
      <c r="F72" s="17"/>
      <c r="G72" s="17"/>
      <c r="H72" s="17"/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" customHeight="1">
      <c r="A73" s="28"/>
      <c r="B73" s="25"/>
      <c r="C73" s="25"/>
      <c r="D73" s="25"/>
      <c r="E73" s="42"/>
      <c r="F73" s="25"/>
      <c r="G73" s="25"/>
      <c r="H73" s="25"/>
      <c r="I73" s="2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" customHeight="1">
      <c r="A74" s="29"/>
      <c r="B74" s="17"/>
      <c r="C74" s="17"/>
      <c r="D74" s="17"/>
      <c r="E74" s="40"/>
      <c r="F74" s="17"/>
      <c r="G74" s="17"/>
      <c r="H74" s="17"/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" customHeight="1">
      <c r="A75" s="28"/>
      <c r="B75" s="25"/>
      <c r="C75" s="25"/>
      <c r="D75" s="25"/>
      <c r="E75" s="42"/>
      <c r="F75" s="25"/>
      <c r="G75" s="25"/>
      <c r="H75" s="25"/>
      <c r="I75" s="2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" customHeight="1">
      <c r="A76" s="29"/>
      <c r="B76" s="17"/>
      <c r="C76" s="17"/>
      <c r="D76" s="17"/>
      <c r="E76" s="40"/>
      <c r="F76" s="17"/>
      <c r="G76" s="17"/>
      <c r="H76" s="17"/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" customHeight="1">
      <c r="A77" s="28"/>
      <c r="B77" s="25"/>
      <c r="C77" s="25"/>
      <c r="D77" s="25"/>
      <c r="E77" s="42"/>
      <c r="F77" s="25"/>
      <c r="G77" s="25"/>
      <c r="H77" s="25"/>
      <c r="I77" s="2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" customHeight="1">
      <c r="A78" s="29"/>
      <c r="B78" s="17"/>
      <c r="C78" s="17"/>
      <c r="D78" s="17"/>
      <c r="E78" s="40"/>
      <c r="F78" s="17"/>
      <c r="G78" s="17"/>
      <c r="H78" s="17"/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" customHeight="1">
      <c r="A79" s="28"/>
      <c r="B79" s="25"/>
      <c r="C79" s="25"/>
      <c r="D79" s="25"/>
      <c r="E79" s="42"/>
      <c r="F79" s="25"/>
      <c r="G79" s="25"/>
      <c r="H79" s="25"/>
      <c r="I79" s="2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" customHeight="1">
      <c r="A80" s="29"/>
      <c r="B80" s="17"/>
      <c r="C80" s="17"/>
      <c r="D80" s="17"/>
      <c r="E80" s="40"/>
      <c r="F80" s="17"/>
      <c r="G80" s="17"/>
      <c r="H80" s="17"/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" customHeight="1">
      <c r="A81" s="28"/>
      <c r="B81" s="25"/>
      <c r="C81" s="25"/>
      <c r="D81" s="25"/>
      <c r="E81" s="42"/>
      <c r="F81" s="25"/>
      <c r="G81" s="25"/>
      <c r="H81" s="25"/>
      <c r="I81" s="2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" customHeight="1">
      <c r="A82" s="29"/>
      <c r="B82" s="17"/>
      <c r="C82" s="17"/>
      <c r="D82" s="17"/>
      <c r="E82" s="40"/>
      <c r="F82" s="17"/>
      <c r="G82" s="17"/>
      <c r="H82" s="17"/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" customHeight="1">
      <c r="A83" s="28"/>
      <c r="B83" s="25"/>
      <c r="C83" s="25"/>
      <c r="D83" s="25"/>
      <c r="E83" s="42"/>
      <c r="F83" s="25"/>
      <c r="G83" s="25"/>
      <c r="H83" s="25"/>
      <c r="I83" s="2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" customHeight="1">
      <c r="A84" s="29"/>
      <c r="B84" s="17"/>
      <c r="C84" s="17"/>
      <c r="D84" s="17"/>
      <c r="E84" s="40"/>
      <c r="F84" s="17"/>
      <c r="G84" s="17"/>
      <c r="H84" s="17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" customHeight="1">
      <c r="A85" s="28"/>
      <c r="B85" s="25"/>
      <c r="C85" s="25"/>
      <c r="D85" s="25"/>
      <c r="E85" s="42"/>
      <c r="F85" s="25"/>
      <c r="G85" s="25"/>
      <c r="H85" s="25"/>
      <c r="I85" s="2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" customHeight="1">
      <c r="A86" s="29"/>
      <c r="B86" s="17"/>
      <c r="C86" s="17"/>
      <c r="D86" s="17"/>
      <c r="E86" s="40"/>
      <c r="F86" s="17"/>
      <c r="G86" s="17"/>
      <c r="H86" s="17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" customHeight="1">
      <c r="A87" s="28"/>
      <c r="B87" s="25"/>
      <c r="C87" s="25"/>
      <c r="D87" s="25"/>
      <c r="E87" s="42"/>
      <c r="F87" s="25"/>
      <c r="G87" s="25"/>
      <c r="H87" s="25"/>
      <c r="I87" s="2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" customHeight="1">
      <c r="A88" s="29"/>
      <c r="B88" s="17"/>
      <c r="C88" s="17"/>
      <c r="D88" s="17"/>
      <c r="E88" s="40"/>
      <c r="F88" s="17"/>
      <c r="G88" s="17"/>
      <c r="H88" s="17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" customHeight="1">
      <c r="A89" s="28"/>
      <c r="B89" s="25"/>
      <c r="C89" s="25"/>
      <c r="D89" s="25"/>
      <c r="E89" s="42"/>
      <c r="F89" s="25"/>
      <c r="G89" s="25"/>
      <c r="H89" s="25"/>
      <c r="I89" s="2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" customHeight="1">
      <c r="A90" s="29"/>
      <c r="B90" s="17"/>
      <c r="C90" s="17"/>
      <c r="D90" s="17"/>
      <c r="E90" s="40"/>
      <c r="F90" s="17"/>
      <c r="G90" s="17"/>
      <c r="H90" s="17"/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" customHeight="1">
      <c r="A91" s="28"/>
      <c r="B91" s="25"/>
      <c r="C91" s="25"/>
      <c r="D91" s="25"/>
      <c r="E91" s="42"/>
      <c r="F91" s="25"/>
      <c r="G91" s="25"/>
      <c r="H91" s="25"/>
      <c r="I91" s="2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" customHeight="1">
      <c r="A92" s="29"/>
      <c r="B92" s="17"/>
      <c r="C92" s="17"/>
      <c r="D92" s="17"/>
      <c r="E92" s="40"/>
      <c r="F92" s="17"/>
      <c r="G92" s="17"/>
      <c r="H92" s="17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" customHeight="1">
      <c r="A93" s="28"/>
      <c r="B93" s="25"/>
      <c r="C93" s="25"/>
      <c r="D93" s="25"/>
      <c r="E93" s="42"/>
      <c r="F93" s="25"/>
      <c r="G93" s="25"/>
      <c r="H93" s="25"/>
      <c r="I93" s="2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" customHeight="1">
      <c r="A94" s="29"/>
      <c r="B94" s="17"/>
      <c r="C94" s="17"/>
      <c r="D94" s="17"/>
      <c r="E94" s="40"/>
      <c r="F94" s="17"/>
      <c r="G94" s="17"/>
      <c r="H94" s="17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" customHeight="1">
      <c r="A95" s="28"/>
      <c r="B95" s="25"/>
      <c r="C95" s="25"/>
      <c r="D95" s="25"/>
      <c r="E95" s="42"/>
      <c r="F95" s="25"/>
      <c r="G95" s="25"/>
      <c r="H95" s="25"/>
      <c r="I95" s="2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" customHeight="1">
      <c r="A96" s="29"/>
      <c r="B96" s="17"/>
      <c r="C96" s="17"/>
      <c r="D96" s="17"/>
      <c r="E96" s="40"/>
      <c r="F96" s="17"/>
      <c r="G96" s="17"/>
      <c r="H96" s="17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" customHeight="1">
      <c r="A97" s="28"/>
      <c r="B97" s="25"/>
      <c r="C97" s="25"/>
      <c r="D97" s="25"/>
      <c r="E97" s="42"/>
      <c r="F97" s="25"/>
      <c r="G97" s="25"/>
      <c r="H97" s="25"/>
      <c r="I97" s="2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" customHeight="1">
      <c r="A98" s="29"/>
      <c r="B98" s="17"/>
      <c r="C98" s="17"/>
      <c r="D98" s="17"/>
      <c r="E98" s="40"/>
      <c r="F98" s="17"/>
      <c r="G98" s="17"/>
      <c r="H98" s="17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" customHeight="1">
      <c r="A99" s="28"/>
      <c r="B99" s="25"/>
      <c r="C99" s="25"/>
      <c r="D99" s="25"/>
      <c r="E99" s="42"/>
      <c r="F99" s="25"/>
      <c r="G99" s="25"/>
      <c r="H99" s="25"/>
      <c r="I99" s="2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" customHeight="1">
      <c r="A100" s="29"/>
      <c r="B100" s="17"/>
      <c r="C100" s="17"/>
      <c r="D100" s="17"/>
      <c r="E100" s="40"/>
      <c r="F100" s="17"/>
      <c r="G100" s="17"/>
      <c r="H100" s="17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" customHeight="1">
      <c r="A101" s="28"/>
      <c r="B101" s="25"/>
      <c r="C101" s="25"/>
      <c r="D101" s="25"/>
      <c r="E101" s="42"/>
      <c r="F101" s="25"/>
      <c r="G101" s="25"/>
      <c r="H101" s="25"/>
      <c r="I101" s="2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" customHeight="1">
      <c r="A102" s="29"/>
      <c r="B102" s="17"/>
      <c r="C102" s="17"/>
      <c r="D102" s="17"/>
      <c r="E102" s="40"/>
      <c r="F102" s="17"/>
      <c r="G102" s="17"/>
      <c r="H102" s="17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" customHeight="1">
      <c r="A103" s="28"/>
      <c r="B103" s="25"/>
      <c r="C103" s="25"/>
      <c r="D103" s="25"/>
      <c r="E103" s="42"/>
      <c r="F103" s="25"/>
      <c r="G103" s="25"/>
      <c r="H103" s="25"/>
      <c r="I103" s="2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" customHeight="1">
      <c r="A104" s="29"/>
      <c r="B104" s="17"/>
      <c r="C104" s="17"/>
      <c r="D104" s="17"/>
      <c r="E104" s="40"/>
      <c r="F104" s="17"/>
      <c r="G104" s="17"/>
      <c r="H104" s="17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" customHeight="1">
      <c r="A105" s="28"/>
      <c r="B105" s="25"/>
      <c r="C105" s="25"/>
      <c r="D105" s="25"/>
      <c r="E105" s="42"/>
      <c r="F105" s="25"/>
      <c r="G105" s="25"/>
      <c r="H105" s="25"/>
      <c r="I105" s="2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" customHeight="1">
      <c r="A106" s="29"/>
      <c r="B106" s="17"/>
      <c r="C106" s="17"/>
      <c r="D106" s="17"/>
      <c r="E106" s="40"/>
      <c r="F106" s="17"/>
      <c r="G106" s="17"/>
      <c r="H106" s="17"/>
      <c r="I106" s="1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" customHeight="1">
      <c r="A107" s="28"/>
      <c r="B107" s="25"/>
      <c r="C107" s="25"/>
      <c r="D107" s="25"/>
      <c r="E107" s="42"/>
      <c r="F107" s="25"/>
      <c r="G107" s="25"/>
      <c r="H107" s="25"/>
      <c r="I107" s="2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" customHeight="1">
      <c r="A108" s="29"/>
      <c r="B108" s="17"/>
      <c r="C108" s="17"/>
      <c r="D108" s="17"/>
      <c r="E108" s="40"/>
      <c r="F108" s="17"/>
      <c r="G108" s="17"/>
      <c r="H108" s="17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" customHeight="1">
      <c r="A109" s="28"/>
      <c r="B109" s="25"/>
      <c r="C109" s="25"/>
      <c r="D109" s="25"/>
      <c r="E109" s="42"/>
      <c r="F109" s="25"/>
      <c r="G109" s="25"/>
      <c r="H109" s="25"/>
      <c r="I109" s="2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" customHeight="1">
      <c r="A110" s="29"/>
      <c r="B110" s="17"/>
      <c r="C110" s="17"/>
      <c r="D110" s="17"/>
      <c r="E110" s="40"/>
      <c r="F110" s="17"/>
      <c r="G110" s="17"/>
      <c r="H110" s="17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" customHeight="1">
      <c r="A111" s="28"/>
      <c r="B111" s="25"/>
      <c r="C111" s="25"/>
      <c r="D111" s="25"/>
      <c r="E111" s="42"/>
      <c r="F111" s="25"/>
      <c r="G111" s="25"/>
      <c r="H111" s="25"/>
      <c r="I111" s="2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" customHeight="1">
      <c r="A112" s="29"/>
      <c r="B112" s="17"/>
      <c r="C112" s="17"/>
      <c r="D112" s="17"/>
      <c r="E112" s="40"/>
      <c r="F112" s="17"/>
      <c r="G112" s="17"/>
      <c r="H112" s="17"/>
      <c r="I112" s="1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" customHeight="1">
      <c r="A113" s="28"/>
      <c r="B113" s="25"/>
      <c r="C113" s="25"/>
      <c r="D113" s="25"/>
      <c r="E113" s="42"/>
      <c r="F113" s="25"/>
      <c r="G113" s="25"/>
      <c r="H113" s="25"/>
      <c r="I113" s="2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" customHeight="1">
      <c r="A114" s="29"/>
      <c r="B114" s="17"/>
      <c r="C114" s="17"/>
      <c r="D114" s="17"/>
      <c r="E114" s="40"/>
      <c r="F114" s="17"/>
      <c r="G114" s="17"/>
      <c r="H114" s="17"/>
      <c r="I114" s="1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" customHeight="1">
      <c r="A115" s="28"/>
      <c r="B115" s="25"/>
      <c r="C115" s="25"/>
      <c r="D115" s="25"/>
      <c r="E115" s="42"/>
      <c r="F115" s="25"/>
      <c r="G115" s="25"/>
      <c r="H115" s="25"/>
      <c r="I115" s="2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" customHeight="1">
      <c r="A116" s="29"/>
      <c r="B116" s="17"/>
      <c r="C116" s="17"/>
      <c r="D116" s="17"/>
      <c r="E116" s="40"/>
      <c r="F116" s="17"/>
      <c r="G116" s="17"/>
      <c r="H116" s="17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" customHeight="1">
      <c r="A117" s="28"/>
      <c r="B117" s="25"/>
      <c r="C117" s="25"/>
      <c r="D117" s="25"/>
      <c r="E117" s="42"/>
      <c r="F117" s="25"/>
      <c r="G117" s="25"/>
      <c r="H117" s="25"/>
      <c r="I117" s="2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" customHeight="1">
      <c r="A118" s="29"/>
      <c r="B118" s="17"/>
      <c r="C118" s="17"/>
      <c r="D118" s="17"/>
      <c r="E118" s="40"/>
      <c r="F118" s="17"/>
      <c r="G118" s="17"/>
      <c r="H118" s="17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" customHeight="1">
      <c r="A119" s="28"/>
      <c r="B119" s="25"/>
      <c r="C119" s="25"/>
      <c r="D119" s="25"/>
      <c r="E119" s="42"/>
      <c r="F119" s="25"/>
      <c r="G119" s="25"/>
      <c r="H119" s="25"/>
      <c r="I119" s="2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" customHeight="1">
      <c r="A120" s="29"/>
      <c r="B120" s="17"/>
      <c r="C120" s="17"/>
      <c r="D120" s="17"/>
      <c r="E120" s="40"/>
      <c r="F120" s="17"/>
      <c r="G120" s="17"/>
      <c r="H120" s="17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" customHeight="1">
      <c r="A121" s="28"/>
      <c r="B121" s="25"/>
      <c r="C121" s="25"/>
      <c r="D121" s="25"/>
      <c r="E121" s="42"/>
      <c r="F121" s="25"/>
      <c r="G121" s="25"/>
      <c r="H121" s="25"/>
      <c r="I121" s="2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" customHeight="1">
      <c r="A122" s="29"/>
      <c r="B122" s="17"/>
      <c r="C122" s="17"/>
      <c r="D122" s="17"/>
      <c r="E122" s="40"/>
      <c r="F122" s="17"/>
      <c r="G122" s="17"/>
      <c r="H122" s="17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" customHeight="1">
      <c r="A123" s="28"/>
      <c r="B123" s="25"/>
      <c r="C123" s="25"/>
      <c r="D123" s="25"/>
      <c r="E123" s="42"/>
      <c r="F123" s="25"/>
      <c r="G123" s="25"/>
      <c r="H123" s="25"/>
      <c r="I123" s="2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" customHeight="1">
      <c r="A124" s="29"/>
      <c r="B124" s="17"/>
      <c r="C124" s="17"/>
      <c r="D124" s="17"/>
      <c r="E124" s="40"/>
      <c r="F124" s="17"/>
      <c r="G124" s="17"/>
      <c r="H124" s="17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" customHeight="1">
      <c r="A125" s="28"/>
      <c r="B125" s="25"/>
      <c r="C125" s="25"/>
      <c r="D125" s="25"/>
      <c r="E125" s="42"/>
      <c r="F125" s="25"/>
      <c r="G125" s="25"/>
      <c r="H125" s="25"/>
      <c r="I125" s="2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" customHeight="1">
      <c r="A126" s="29"/>
      <c r="B126" s="17"/>
      <c r="C126" s="17"/>
      <c r="D126" s="17"/>
      <c r="E126" s="40"/>
      <c r="F126" s="17"/>
      <c r="G126" s="17"/>
      <c r="H126" s="17"/>
      <c r="I126" s="1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" customHeight="1">
      <c r="A127" s="28"/>
      <c r="B127" s="25"/>
      <c r="C127" s="25"/>
      <c r="D127" s="25"/>
      <c r="E127" s="42"/>
      <c r="F127" s="25"/>
      <c r="G127" s="25"/>
      <c r="H127" s="25"/>
      <c r="I127" s="2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" customHeight="1">
      <c r="A128" s="29"/>
      <c r="B128" s="17"/>
      <c r="C128" s="17"/>
      <c r="D128" s="17"/>
      <c r="E128" s="40"/>
      <c r="F128" s="17"/>
      <c r="G128" s="17"/>
      <c r="H128" s="17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" customHeight="1">
      <c r="A129" s="28"/>
      <c r="B129" s="25"/>
      <c r="C129" s="25"/>
      <c r="D129" s="25"/>
      <c r="E129" s="42"/>
      <c r="F129" s="25"/>
      <c r="G129" s="25"/>
      <c r="H129" s="25"/>
      <c r="I129" s="2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" customHeight="1">
      <c r="A130" s="29"/>
      <c r="B130" s="17"/>
      <c r="C130" s="17"/>
      <c r="D130" s="17"/>
      <c r="E130" s="40"/>
      <c r="F130" s="17"/>
      <c r="G130" s="17"/>
      <c r="H130" s="17"/>
      <c r="I130" s="1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" customHeight="1">
      <c r="A131" s="28"/>
      <c r="B131" s="25"/>
      <c r="C131" s="25"/>
      <c r="D131" s="25"/>
      <c r="E131" s="42"/>
      <c r="F131" s="25"/>
      <c r="G131" s="25"/>
      <c r="H131" s="25"/>
      <c r="I131" s="2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" customHeight="1">
      <c r="A132" s="29"/>
      <c r="B132" s="17"/>
      <c r="C132" s="17"/>
      <c r="D132" s="17"/>
      <c r="E132" s="40"/>
      <c r="F132" s="17"/>
      <c r="G132" s="17"/>
      <c r="H132" s="17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" customHeight="1">
      <c r="A133" s="28"/>
      <c r="B133" s="25"/>
      <c r="C133" s="25"/>
      <c r="D133" s="25"/>
      <c r="E133" s="42"/>
      <c r="F133" s="25"/>
      <c r="G133" s="25"/>
      <c r="H133" s="25"/>
      <c r="I133" s="2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" customHeight="1">
      <c r="A134" s="29"/>
      <c r="B134" s="17"/>
      <c r="C134" s="17"/>
      <c r="D134" s="17"/>
      <c r="E134" s="40"/>
      <c r="F134" s="17"/>
      <c r="G134" s="17"/>
      <c r="H134" s="17"/>
      <c r="I134" s="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" customHeight="1">
      <c r="A135" s="28"/>
      <c r="B135" s="25"/>
      <c r="C135" s="25"/>
      <c r="D135" s="25"/>
      <c r="E135" s="42"/>
      <c r="F135" s="25"/>
      <c r="G135" s="25"/>
      <c r="H135" s="25"/>
      <c r="I135" s="2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" customHeight="1">
      <c r="A136" s="29"/>
      <c r="B136" s="17"/>
      <c r="C136" s="17"/>
      <c r="D136" s="17"/>
      <c r="E136" s="40"/>
      <c r="F136" s="17"/>
      <c r="G136" s="17"/>
      <c r="H136" s="17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" customHeight="1">
      <c r="A137" s="28"/>
      <c r="B137" s="25"/>
      <c r="C137" s="25"/>
      <c r="D137" s="25"/>
      <c r="E137" s="42"/>
      <c r="F137" s="25"/>
      <c r="G137" s="25"/>
      <c r="H137" s="25"/>
      <c r="I137" s="2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" customHeight="1">
      <c r="A138" s="29"/>
      <c r="B138" s="17"/>
      <c r="C138" s="17"/>
      <c r="D138" s="17"/>
      <c r="E138" s="40"/>
      <c r="F138" s="17"/>
      <c r="G138" s="17"/>
      <c r="H138" s="17"/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" customHeight="1">
      <c r="A139" s="28"/>
      <c r="B139" s="25"/>
      <c r="C139" s="25"/>
      <c r="D139" s="25"/>
      <c r="E139" s="42"/>
      <c r="F139" s="25"/>
      <c r="G139" s="25"/>
      <c r="H139" s="25"/>
      <c r="I139" s="2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" customHeight="1">
      <c r="A140" s="29"/>
      <c r="B140" s="17"/>
      <c r="C140" s="17"/>
      <c r="D140" s="17"/>
      <c r="E140" s="40"/>
      <c r="F140" s="17"/>
      <c r="G140" s="17"/>
      <c r="H140" s="17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" customHeight="1">
      <c r="A141" s="28"/>
      <c r="B141" s="25"/>
      <c r="C141" s="25"/>
      <c r="D141" s="25"/>
      <c r="E141" s="42"/>
      <c r="F141" s="25"/>
      <c r="G141" s="25"/>
      <c r="H141" s="25"/>
      <c r="I141" s="2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" customHeight="1">
      <c r="A142" s="29"/>
      <c r="B142" s="17"/>
      <c r="C142" s="17"/>
      <c r="D142" s="17"/>
      <c r="E142" s="40"/>
      <c r="F142" s="17"/>
      <c r="G142" s="17"/>
      <c r="H142" s="17"/>
      <c r="I142" s="1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" customHeight="1">
      <c r="A143" s="28"/>
      <c r="B143" s="25"/>
      <c r="C143" s="25"/>
      <c r="D143" s="25"/>
      <c r="E143" s="42"/>
      <c r="F143" s="25"/>
      <c r="G143" s="25"/>
      <c r="H143" s="25"/>
      <c r="I143" s="2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" customHeight="1">
      <c r="A144" s="29"/>
      <c r="B144" s="17"/>
      <c r="C144" s="17"/>
      <c r="D144" s="17"/>
      <c r="E144" s="40"/>
      <c r="F144" s="17"/>
      <c r="G144" s="17"/>
      <c r="H144" s="17"/>
      <c r="I144" s="1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" customHeight="1">
      <c r="A145" s="28"/>
      <c r="B145" s="25"/>
      <c r="C145" s="25"/>
      <c r="D145" s="25"/>
      <c r="E145" s="42"/>
      <c r="F145" s="25"/>
      <c r="G145" s="25"/>
      <c r="H145" s="25"/>
      <c r="I145" s="2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" customHeight="1">
      <c r="A146" s="29"/>
      <c r="B146" s="17"/>
      <c r="C146" s="17"/>
      <c r="D146" s="17"/>
      <c r="E146" s="40"/>
      <c r="F146" s="17"/>
      <c r="G146" s="17"/>
      <c r="H146" s="17"/>
      <c r="I146" s="1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" customHeight="1">
      <c r="A147" s="28"/>
      <c r="B147" s="25"/>
      <c r="C147" s="25"/>
      <c r="D147" s="25"/>
      <c r="E147" s="42"/>
      <c r="F147" s="25"/>
      <c r="G147" s="25"/>
      <c r="H147" s="25"/>
      <c r="I147" s="2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" customHeight="1">
      <c r="A148" s="29"/>
      <c r="B148" s="17"/>
      <c r="C148" s="17"/>
      <c r="D148" s="17"/>
      <c r="E148" s="40"/>
      <c r="F148" s="17"/>
      <c r="G148" s="17"/>
      <c r="H148" s="17"/>
      <c r="I148" s="1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" customHeight="1">
      <c r="A149" s="28"/>
      <c r="B149" s="25"/>
      <c r="C149" s="25"/>
      <c r="D149" s="25"/>
      <c r="E149" s="42"/>
      <c r="F149" s="25"/>
      <c r="G149" s="25"/>
      <c r="H149" s="25"/>
      <c r="I149" s="2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" customHeight="1">
      <c r="A150" s="29"/>
      <c r="B150" s="17"/>
      <c r="C150" s="17"/>
      <c r="D150" s="17"/>
      <c r="E150" s="40"/>
      <c r="F150" s="17"/>
      <c r="G150" s="17"/>
      <c r="H150" s="17"/>
      <c r="I150" s="1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" customHeight="1">
      <c r="A151" s="28"/>
      <c r="B151" s="25"/>
      <c r="C151" s="25"/>
      <c r="D151" s="25"/>
      <c r="E151" s="42"/>
      <c r="F151" s="25"/>
      <c r="G151" s="25"/>
      <c r="H151" s="25"/>
      <c r="I151" s="2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" customHeight="1">
      <c r="A152" s="29"/>
      <c r="B152" s="17"/>
      <c r="C152" s="17"/>
      <c r="D152" s="17"/>
      <c r="E152" s="40"/>
      <c r="F152" s="17"/>
      <c r="G152" s="17"/>
      <c r="H152" s="17"/>
      <c r="I152" s="1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" customHeight="1">
      <c r="A153" s="28"/>
      <c r="B153" s="25"/>
      <c r="C153" s="25"/>
      <c r="D153" s="25"/>
      <c r="E153" s="42"/>
      <c r="F153" s="25"/>
      <c r="G153" s="25"/>
      <c r="H153" s="25"/>
      <c r="I153" s="2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" customHeight="1">
      <c r="A154" s="29"/>
      <c r="B154" s="17"/>
      <c r="C154" s="17"/>
      <c r="D154" s="17"/>
      <c r="E154" s="40"/>
      <c r="F154" s="17"/>
      <c r="G154" s="17"/>
      <c r="H154" s="17"/>
      <c r="I154" s="1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" customHeight="1">
      <c r="A155" s="28"/>
      <c r="B155" s="25"/>
      <c r="C155" s="25"/>
      <c r="D155" s="25"/>
      <c r="E155" s="42"/>
      <c r="F155" s="25"/>
      <c r="G155" s="25"/>
      <c r="H155" s="25"/>
      <c r="I155" s="2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" customHeight="1">
      <c r="A156" s="29"/>
      <c r="B156" s="17"/>
      <c r="C156" s="17"/>
      <c r="D156" s="17"/>
      <c r="E156" s="40"/>
      <c r="F156" s="17"/>
      <c r="G156" s="17"/>
      <c r="H156" s="17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" customHeight="1">
      <c r="A157" s="28"/>
      <c r="B157" s="25"/>
      <c r="C157" s="25"/>
      <c r="D157" s="25"/>
      <c r="E157" s="42"/>
      <c r="F157" s="25"/>
      <c r="G157" s="25"/>
      <c r="H157" s="25"/>
      <c r="I157" s="2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" customHeight="1">
      <c r="A158" s="29"/>
      <c r="B158" s="17"/>
      <c r="C158" s="17"/>
      <c r="D158" s="17"/>
      <c r="E158" s="40"/>
      <c r="F158" s="17"/>
      <c r="G158" s="17"/>
      <c r="H158" s="17"/>
      <c r="I158" s="1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" customHeight="1">
      <c r="A159" s="28"/>
      <c r="B159" s="25"/>
      <c r="C159" s="25"/>
      <c r="D159" s="25"/>
      <c r="E159" s="42"/>
      <c r="F159" s="25"/>
      <c r="G159" s="25"/>
      <c r="H159" s="25"/>
      <c r="I159" s="2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" customHeight="1">
      <c r="A160" s="29"/>
      <c r="B160" s="17"/>
      <c r="C160" s="17"/>
      <c r="D160" s="17"/>
      <c r="E160" s="40"/>
      <c r="F160" s="17"/>
      <c r="G160" s="17"/>
      <c r="H160" s="17"/>
      <c r="I160" s="1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" customHeight="1">
      <c r="A161" s="28"/>
      <c r="B161" s="25"/>
      <c r="C161" s="25"/>
      <c r="D161" s="25"/>
      <c r="E161" s="42"/>
      <c r="F161" s="25"/>
      <c r="G161" s="25"/>
      <c r="H161" s="25"/>
      <c r="I161" s="2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" customHeight="1">
      <c r="A162" s="29"/>
      <c r="B162" s="17"/>
      <c r="C162" s="17"/>
      <c r="D162" s="17"/>
      <c r="E162" s="40"/>
      <c r="F162" s="17"/>
      <c r="G162" s="17"/>
      <c r="H162" s="17"/>
      <c r="I162" s="1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" customHeight="1">
      <c r="A163" s="28"/>
      <c r="B163" s="25"/>
      <c r="C163" s="25"/>
      <c r="D163" s="25"/>
      <c r="E163" s="42"/>
      <c r="F163" s="25"/>
      <c r="G163" s="25"/>
      <c r="H163" s="25"/>
      <c r="I163" s="2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" customHeight="1">
      <c r="A164" s="29"/>
      <c r="B164" s="17"/>
      <c r="C164" s="17"/>
      <c r="D164" s="17"/>
      <c r="E164" s="40"/>
      <c r="F164" s="17"/>
      <c r="G164" s="17"/>
      <c r="H164" s="17"/>
      <c r="I164" s="1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" customHeight="1">
      <c r="A165" s="28"/>
      <c r="B165" s="25"/>
      <c r="C165" s="25"/>
      <c r="D165" s="25"/>
      <c r="E165" s="42"/>
      <c r="F165" s="25"/>
      <c r="G165" s="25"/>
      <c r="H165" s="25"/>
      <c r="I165" s="2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" customHeight="1">
      <c r="A166" s="29"/>
      <c r="B166" s="17"/>
      <c r="C166" s="17"/>
      <c r="D166" s="17"/>
      <c r="E166" s="40"/>
      <c r="F166" s="17"/>
      <c r="G166" s="17"/>
      <c r="H166" s="17"/>
      <c r="I166" s="1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" customHeight="1">
      <c r="A167" s="28"/>
      <c r="B167" s="25"/>
      <c r="C167" s="25"/>
      <c r="D167" s="25"/>
      <c r="E167" s="42"/>
      <c r="F167" s="25"/>
      <c r="G167" s="25"/>
      <c r="H167" s="25"/>
      <c r="I167" s="2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" customHeight="1">
      <c r="A168" s="29"/>
      <c r="B168" s="17"/>
      <c r="C168" s="17"/>
      <c r="D168" s="17"/>
      <c r="E168" s="40"/>
      <c r="F168" s="17"/>
      <c r="G168" s="17"/>
      <c r="H168" s="17"/>
      <c r="I168" s="1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" customHeight="1">
      <c r="A169" s="28"/>
      <c r="B169" s="25"/>
      <c r="C169" s="25"/>
      <c r="D169" s="25"/>
      <c r="E169" s="42"/>
      <c r="F169" s="25"/>
      <c r="G169" s="25"/>
      <c r="H169" s="25"/>
      <c r="I169" s="2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" customHeight="1">
      <c r="A170" s="29"/>
      <c r="B170" s="17"/>
      <c r="C170" s="17"/>
      <c r="D170" s="17"/>
      <c r="E170" s="40"/>
      <c r="F170" s="17"/>
      <c r="G170" s="17"/>
      <c r="H170" s="17"/>
      <c r="I170" s="1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" customHeight="1">
      <c r="A171" s="28"/>
      <c r="B171" s="25"/>
      <c r="C171" s="25"/>
      <c r="D171" s="25"/>
      <c r="E171" s="42"/>
      <c r="F171" s="25"/>
      <c r="G171" s="25"/>
      <c r="H171" s="25"/>
      <c r="I171" s="2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" customHeight="1">
      <c r="A172" s="29"/>
      <c r="B172" s="17"/>
      <c r="C172" s="17"/>
      <c r="D172" s="17"/>
      <c r="E172" s="40"/>
      <c r="F172" s="17"/>
      <c r="G172" s="17"/>
      <c r="H172" s="17"/>
      <c r="I172" s="1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" customHeight="1">
      <c r="A173" s="28"/>
      <c r="B173" s="25"/>
      <c r="C173" s="25"/>
      <c r="D173" s="25"/>
      <c r="E173" s="42"/>
      <c r="F173" s="25"/>
      <c r="G173" s="25"/>
      <c r="H173" s="25"/>
      <c r="I173" s="2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" customHeight="1">
      <c r="A174" s="29"/>
      <c r="B174" s="17"/>
      <c r="C174" s="17"/>
      <c r="D174" s="17"/>
      <c r="E174" s="40"/>
      <c r="F174" s="17"/>
      <c r="G174" s="17"/>
      <c r="H174" s="17"/>
      <c r="I174" s="1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" customHeight="1">
      <c r="A175" s="28"/>
      <c r="B175" s="25"/>
      <c r="C175" s="25"/>
      <c r="D175" s="25"/>
      <c r="E175" s="42"/>
      <c r="F175" s="25"/>
      <c r="G175" s="25"/>
      <c r="H175" s="25"/>
      <c r="I175" s="2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" customHeight="1">
      <c r="A176" s="29"/>
      <c r="B176" s="17"/>
      <c r="C176" s="17"/>
      <c r="D176" s="17"/>
      <c r="E176" s="40"/>
      <c r="F176" s="17"/>
      <c r="G176" s="17"/>
      <c r="H176" s="17"/>
      <c r="I176" s="1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" customHeight="1">
      <c r="A177" s="28"/>
      <c r="B177" s="25"/>
      <c r="C177" s="25"/>
      <c r="D177" s="25"/>
      <c r="E177" s="42"/>
      <c r="F177" s="25"/>
      <c r="G177" s="25"/>
      <c r="H177" s="25"/>
      <c r="I177" s="2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" customHeight="1">
      <c r="A178" s="29"/>
      <c r="B178" s="17"/>
      <c r="C178" s="17"/>
      <c r="D178" s="17"/>
      <c r="E178" s="40"/>
      <c r="F178" s="17"/>
      <c r="G178" s="17"/>
      <c r="H178" s="17"/>
      <c r="I178" s="1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" customHeight="1">
      <c r="A179" s="28"/>
      <c r="B179" s="25"/>
      <c r="C179" s="25"/>
      <c r="D179" s="25"/>
      <c r="E179" s="42"/>
      <c r="F179" s="25"/>
      <c r="G179" s="25"/>
      <c r="H179" s="25"/>
      <c r="I179" s="2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" customHeight="1">
      <c r="A180" s="29"/>
      <c r="B180" s="17"/>
      <c r="C180" s="17"/>
      <c r="D180" s="17"/>
      <c r="E180" s="40"/>
      <c r="F180" s="17"/>
      <c r="G180" s="17"/>
      <c r="H180" s="17"/>
      <c r="I180" s="1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" customHeight="1">
      <c r="A181" s="28"/>
      <c r="B181" s="25"/>
      <c r="C181" s="25"/>
      <c r="D181" s="25"/>
      <c r="E181" s="42"/>
      <c r="F181" s="25"/>
      <c r="G181" s="25"/>
      <c r="H181" s="25"/>
      <c r="I181" s="2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" customHeight="1">
      <c r="A182" s="29"/>
      <c r="B182" s="17"/>
      <c r="C182" s="17"/>
      <c r="D182" s="17"/>
      <c r="E182" s="40"/>
      <c r="F182" s="17"/>
      <c r="G182" s="17"/>
      <c r="H182" s="17"/>
      <c r="I182" s="1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" customHeight="1">
      <c r="A183" s="28"/>
      <c r="B183" s="25"/>
      <c r="C183" s="25"/>
      <c r="D183" s="25"/>
      <c r="E183" s="42"/>
      <c r="F183" s="25"/>
      <c r="G183" s="25"/>
      <c r="H183" s="25"/>
      <c r="I183" s="2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" customHeight="1">
      <c r="A184" s="29"/>
      <c r="B184" s="17"/>
      <c r="C184" s="17"/>
      <c r="D184" s="17"/>
      <c r="E184" s="40"/>
      <c r="F184" s="17"/>
      <c r="G184" s="17"/>
      <c r="H184" s="17"/>
      <c r="I184" s="1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" customHeight="1">
      <c r="A185" s="28"/>
      <c r="B185" s="25"/>
      <c r="C185" s="25"/>
      <c r="D185" s="25"/>
      <c r="E185" s="42"/>
      <c r="F185" s="25"/>
      <c r="G185" s="25"/>
      <c r="H185" s="25"/>
      <c r="I185" s="2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" customHeight="1">
      <c r="A186" s="29"/>
      <c r="B186" s="17"/>
      <c r="C186" s="17"/>
      <c r="D186" s="17"/>
      <c r="E186" s="40"/>
      <c r="F186" s="17"/>
      <c r="G186" s="17"/>
      <c r="H186" s="17"/>
      <c r="I186" s="1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" customHeight="1">
      <c r="A187" s="28"/>
      <c r="B187" s="25"/>
      <c r="C187" s="25"/>
      <c r="D187" s="25"/>
      <c r="E187" s="42"/>
      <c r="F187" s="25"/>
      <c r="G187" s="25"/>
      <c r="H187" s="25"/>
      <c r="I187" s="2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" customHeight="1">
      <c r="A188" s="29"/>
      <c r="B188" s="17"/>
      <c r="C188" s="17"/>
      <c r="D188" s="17"/>
      <c r="E188" s="40"/>
      <c r="F188" s="17"/>
      <c r="G188" s="17"/>
      <c r="H188" s="17"/>
      <c r="I188" s="1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" customHeight="1">
      <c r="A189" s="28"/>
      <c r="B189" s="25"/>
      <c r="C189" s="25"/>
      <c r="D189" s="25"/>
      <c r="E189" s="42"/>
      <c r="F189" s="25"/>
      <c r="G189" s="25"/>
      <c r="H189" s="25"/>
      <c r="I189" s="2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" customHeight="1">
      <c r="A190" s="29"/>
      <c r="B190" s="17"/>
      <c r="C190" s="17"/>
      <c r="D190" s="17"/>
      <c r="E190" s="40"/>
      <c r="F190" s="17"/>
      <c r="G190" s="17"/>
      <c r="H190" s="17"/>
      <c r="I190" s="1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" customHeight="1">
      <c r="A191" s="28"/>
      <c r="B191" s="25"/>
      <c r="C191" s="25"/>
      <c r="D191" s="25"/>
      <c r="E191" s="42"/>
      <c r="F191" s="25"/>
      <c r="G191" s="25"/>
      <c r="H191" s="25"/>
      <c r="I191" s="2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" customHeight="1">
      <c r="A192" s="29"/>
      <c r="B192" s="17"/>
      <c r="C192" s="17"/>
      <c r="D192" s="17"/>
      <c r="E192" s="40"/>
      <c r="F192" s="17"/>
      <c r="G192" s="17"/>
      <c r="H192" s="17"/>
      <c r="I192" s="1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" customHeight="1">
      <c r="A193" s="28"/>
      <c r="B193" s="25"/>
      <c r="C193" s="25"/>
      <c r="D193" s="25"/>
      <c r="E193" s="42"/>
      <c r="F193" s="25"/>
      <c r="G193" s="25"/>
      <c r="H193" s="25"/>
      <c r="I193" s="2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" customHeight="1">
      <c r="A194" s="29"/>
      <c r="B194" s="17"/>
      <c r="C194" s="17"/>
      <c r="D194" s="17"/>
      <c r="E194" s="40"/>
      <c r="F194" s="17"/>
      <c r="G194" s="17"/>
      <c r="H194" s="17"/>
      <c r="I194" s="1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" customHeight="1">
      <c r="A195" s="28"/>
      <c r="B195" s="25"/>
      <c r="C195" s="25"/>
      <c r="D195" s="25"/>
      <c r="E195" s="42"/>
      <c r="F195" s="25"/>
      <c r="G195" s="25"/>
      <c r="H195" s="25"/>
      <c r="I195" s="2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" customHeight="1">
      <c r="A196" s="29"/>
      <c r="B196" s="17"/>
      <c r="C196" s="17"/>
      <c r="D196" s="17"/>
      <c r="E196" s="40"/>
      <c r="F196" s="17"/>
      <c r="G196" s="17"/>
      <c r="H196" s="17"/>
      <c r="I196" s="1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" customHeight="1">
      <c r="A197" s="28"/>
      <c r="B197" s="25"/>
      <c r="C197" s="25"/>
      <c r="D197" s="25"/>
      <c r="E197" s="42"/>
      <c r="F197" s="25"/>
      <c r="G197" s="25"/>
      <c r="H197" s="25"/>
      <c r="I197" s="2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" customHeight="1">
      <c r="A198" s="29"/>
      <c r="B198" s="17"/>
      <c r="C198" s="17"/>
      <c r="D198" s="17"/>
      <c r="E198" s="40"/>
      <c r="F198" s="17"/>
      <c r="G198" s="17"/>
      <c r="H198" s="17"/>
      <c r="I198" s="1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" customHeight="1">
      <c r="A199" s="28"/>
      <c r="B199" s="25"/>
      <c r="C199" s="25"/>
      <c r="D199" s="25"/>
      <c r="E199" s="42"/>
      <c r="F199" s="25"/>
      <c r="G199" s="25"/>
      <c r="H199" s="25"/>
      <c r="I199" s="2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" customHeight="1">
      <c r="A200" s="29"/>
      <c r="B200" s="17"/>
      <c r="C200" s="17"/>
      <c r="D200" s="17"/>
      <c r="E200" s="40"/>
      <c r="F200" s="17"/>
      <c r="G200" s="17"/>
      <c r="H200" s="17"/>
      <c r="I200" s="1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" customHeight="1">
      <c r="A201" s="28"/>
      <c r="B201" s="25"/>
      <c r="C201" s="25"/>
      <c r="D201" s="25"/>
      <c r="E201" s="42"/>
      <c r="F201" s="25"/>
      <c r="G201" s="25"/>
      <c r="H201" s="25"/>
      <c r="I201" s="2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" customHeight="1">
      <c r="A202" s="29"/>
      <c r="B202" s="17"/>
      <c r="C202" s="17"/>
      <c r="D202" s="17"/>
      <c r="E202" s="40"/>
      <c r="F202" s="17"/>
      <c r="G202" s="17"/>
      <c r="H202" s="17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" customHeight="1">
      <c r="A203" s="28"/>
      <c r="B203" s="25"/>
      <c r="C203" s="25"/>
      <c r="D203" s="25"/>
      <c r="E203" s="42"/>
      <c r="F203" s="25"/>
      <c r="G203" s="25"/>
      <c r="H203" s="25"/>
      <c r="I203" s="2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" customHeight="1">
      <c r="A204" s="30"/>
      <c r="B204" s="20"/>
      <c r="C204" s="20"/>
      <c r="D204" s="20"/>
      <c r="E204" s="41"/>
      <c r="F204" s="20"/>
      <c r="G204" s="20"/>
      <c r="H204" s="20"/>
      <c r="I204" s="2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mergeCells count="2">
    <mergeCell ref="A1:I1"/>
    <mergeCell ref="A2:I2"/>
  </mergeCells>
  <conditionalFormatting sqref="E5:E204">
    <cfRule type="colorScale" priority="1">
      <colorScale>
        <cfvo type="min"/>
        <cfvo type="percentile" val="50"/>
        <cfvo type="max"/>
        <color rgb="FFF4CCCC"/>
        <color rgb="FFFCE5CD"/>
        <color rgb="FFD9EAD3"/>
      </colorScale>
    </cfRule>
  </conditionalFormatting>
  <conditionalFormatting sqref="G5:G204">
    <cfRule type="expression" dxfId="4" priority="2">
      <formula>G5="Strong"</formula>
    </cfRule>
    <cfRule type="expression" dxfId="3" priority="3">
      <formula>G5="Needs Revision"</formula>
    </cfRule>
  </conditionalFormatting>
  <dataValidations count="1">
    <dataValidation type="list" sqref="G5:G204" xr:uid="{00000000-0002-0000-0500-000000000000}">
      <formula1>"New,Needs Revision,Secure,Strong"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1000000}">
          <x14:formula1>
            <xm:f>Lists!$A$5:$A$7</xm:f>
          </x14:formula1>
          <xm:sqref>B5:B204</xm:sqref>
        </x14:dataValidation>
        <x14:dataValidation type="list" xr:uid="{00000000-0002-0000-0500-000002000000}">
          <x14:formula1>
            <xm:f>Lists!$D$5:$D$13</xm:f>
          </x14:formula1>
          <xm:sqref>C5:C204</xm:sqref>
        </x14:dataValidation>
        <x14:dataValidation type="list" xr:uid="{00000000-0002-0000-0500-000003000000}">
          <x14:formula1>
            <xm:f>Lists!$F$5:$F$9</xm:f>
          </x14:formula1>
          <xm:sqref>F5:F204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4374B"/>
  </sheetPr>
  <dimension ref="A1:J16"/>
  <sheetViews>
    <sheetView showGridLines="0" workbookViewId="0">
      <pane ySplit="4" topLeftCell="A5" activePane="bottomLeft" state="frozen"/>
      <selection pane="bottomLeft" sqref="A1:J1"/>
    </sheetView>
  </sheetViews>
  <sheetFormatPr defaultRowHeight="13.8"/>
  <cols>
    <col min="1" max="1" width="20" customWidth="1"/>
    <col min="2" max="4" width="11" customWidth="1"/>
    <col min="5" max="6" width="37" customWidth="1"/>
    <col min="7" max="10" width="28" customWidth="1"/>
  </cols>
  <sheetData>
    <row r="1" spans="1:10" ht="38.1" customHeight="1">
      <c r="A1" s="60" t="s">
        <v>109</v>
      </c>
      <c r="B1" s="61"/>
      <c r="C1" s="61"/>
      <c r="D1" s="61"/>
      <c r="E1" s="61"/>
      <c r="F1" s="61"/>
      <c r="G1" s="61"/>
      <c r="H1" s="61"/>
      <c r="I1" s="61"/>
      <c r="J1" s="62"/>
    </row>
    <row r="2" spans="1:10" ht="30" customHeight="1">
      <c r="A2" s="63" t="s">
        <v>110</v>
      </c>
      <c r="B2" s="64"/>
      <c r="C2" s="64"/>
      <c r="D2" s="64"/>
      <c r="E2" s="64"/>
      <c r="F2" s="64"/>
      <c r="G2" s="64"/>
      <c r="H2" s="64"/>
      <c r="I2" s="64"/>
      <c r="J2" s="65"/>
    </row>
    <row r="3" spans="1:10" ht="25" customHeight="1">
      <c r="A3" s="2"/>
      <c r="B3" s="3"/>
      <c r="C3" s="3"/>
      <c r="D3" s="3"/>
      <c r="E3" s="3"/>
      <c r="F3" s="3"/>
      <c r="G3" s="3"/>
      <c r="H3" s="3"/>
      <c r="I3" s="3"/>
      <c r="J3" s="4"/>
    </row>
    <row r="4" spans="1:10" ht="38.1" customHeight="1">
      <c r="A4" s="23" t="s">
        <v>111</v>
      </c>
      <c r="B4" s="10" t="s">
        <v>112</v>
      </c>
      <c r="C4" s="10" t="s">
        <v>113</v>
      </c>
      <c r="D4" s="10" t="s">
        <v>114</v>
      </c>
      <c r="E4" s="10" t="s">
        <v>115</v>
      </c>
      <c r="F4" s="10" t="s">
        <v>116</v>
      </c>
      <c r="G4" s="10" t="s">
        <v>117</v>
      </c>
      <c r="H4" s="10" t="s">
        <v>118</v>
      </c>
      <c r="I4" s="10" t="s">
        <v>119</v>
      </c>
      <c r="J4" s="24" t="s">
        <v>102</v>
      </c>
    </row>
    <row r="5" spans="1:10" ht="64" customHeight="1">
      <c r="A5" s="33" t="s">
        <v>47</v>
      </c>
      <c r="B5" s="25" t="s">
        <v>120</v>
      </c>
      <c r="C5" s="25" t="s">
        <v>121</v>
      </c>
      <c r="D5" s="25">
        <v>10</v>
      </c>
      <c r="E5" s="25" t="s">
        <v>122</v>
      </c>
      <c r="F5" s="25" t="s">
        <v>123</v>
      </c>
      <c r="G5" s="25" t="s">
        <v>124</v>
      </c>
      <c r="H5" s="25" t="s">
        <v>125</v>
      </c>
      <c r="I5" s="25" t="s">
        <v>126</v>
      </c>
      <c r="J5" s="27"/>
    </row>
    <row r="6" spans="1:10" ht="64" customHeight="1">
      <c r="A6" s="31" t="s">
        <v>47</v>
      </c>
      <c r="B6" s="17" t="s">
        <v>121</v>
      </c>
      <c r="C6" s="17" t="s">
        <v>127</v>
      </c>
      <c r="D6" s="17">
        <v>30</v>
      </c>
      <c r="E6" s="17" t="s">
        <v>15</v>
      </c>
      <c r="F6" s="17" t="s">
        <v>128</v>
      </c>
      <c r="G6" s="17" t="s">
        <v>129</v>
      </c>
      <c r="H6" s="17" t="s">
        <v>130</v>
      </c>
      <c r="I6" s="17" t="s">
        <v>131</v>
      </c>
      <c r="J6" s="19"/>
    </row>
    <row r="7" spans="1:10" ht="64" customHeight="1">
      <c r="A7" s="33" t="s">
        <v>47</v>
      </c>
      <c r="B7" s="25" t="s">
        <v>127</v>
      </c>
      <c r="C7" s="25" t="s">
        <v>132</v>
      </c>
      <c r="D7" s="25">
        <v>25</v>
      </c>
      <c r="E7" s="25" t="s">
        <v>133</v>
      </c>
      <c r="F7" s="25" t="s">
        <v>134</v>
      </c>
      <c r="G7" s="25" t="s">
        <v>135</v>
      </c>
      <c r="H7" s="25" t="s">
        <v>136</v>
      </c>
      <c r="I7" s="25" t="s">
        <v>137</v>
      </c>
      <c r="J7" s="27"/>
    </row>
    <row r="8" spans="1:10" ht="64" customHeight="1">
      <c r="A8" s="31" t="s">
        <v>47</v>
      </c>
      <c r="B8" s="17" t="s">
        <v>132</v>
      </c>
      <c r="C8" s="17" t="s">
        <v>138</v>
      </c>
      <c r="D8" s="17">
        <v>25</v>
      </c>
      <c r="E8" s="17" t="s">
        <v>139</v>
      </c>
      <c r="F8" s="17" t="s">
        <v>140</v>
      </c>
      <c r="G8" s="17" t="s">
        <v>141</v>
      </c>
      <c r="H8" s="17" t="s">
        <v>142</v>
      </c>
      <c r="I8" s="17" t="s">
        <v>143</v>
      </c>
      <c r="J8" s="19"/>
    </row>
    <row r="9" spans="1:10" ht="64" customHeight="1">
      <c r="A9" s="33" t="s">
        <v>47</v>
      </c>
      <c r="B9" s="25" t="s">
        <v>138</v>
      </c>
      <c r="C9" s="25" t="s">
        <v>144</v>
      </c>
      <c r="D9" s="25">
        <v>20</v>
      </c>
      <c r="E9" s="25" t="s">
        <v>145</v>
      </c>
      <c r="F9" s="25" t="s">
        <v>146</v>
      </c>
      <c r="G9" s="25" t="s">
        <v>147</v>
      </c>
      <c r="H9" s="25" t="s">
        <v>148</v>
      </c>
      <c r="I9" s="25" t="s">
        <v>149</v>
      </c>
      <c r="J9" s="27"/>
    </row>
    <row r="10" spans="1:10" ht="64" customHeight="1">
      <c r="A10" s="31" t="s">
        <v>47</v>
      </c>
      <c r="B10" s="17" t="s">
        <v>144</v>
      </c>
      <c r="C10" s="17" t="s">
        <v>150</v>
      </c>
      <c r="D10" s="17">
        <v>10</v>
      </c>
      <c r="E10" s="17" t="s">
        <v>151</v>
      </c>
      <c r="F10" s="17" t="s">
        <v>152</v>
      </c>
      <c r="G10" s="17" t="s">
        <v>153</v>
      </c>
      <c r="H10" s="17" t="s">
        <v>154</v>
      </c>
      <c r="I10" s="17" t="s">
        <v>155</v>
      </c>
      <c r="J10" s="19"/>
    </row>
    <row r="11" spans="1:10" ht="64" customHeight="1">
      <c r="A11" s="33" t="s">
        <v>33</v>
      </c>
      <c r="B11" s="25" t="s">
        <v>120</v>
      </c>
      <c r="C11" s="25" t="s">
        <v>121</v>
      </c>
      <c r="D11" s="25">
        <v>10</v>
      </c>
      <c r="E11" s="25" t="s">
        <v>122</v>
      </c>
      <c r="F11" s="25" t="s">
        <v>156</v>
      </c>
      <c r="G11" s="25" t="s">
        <v>157</v>
      </c>
      <c r="H11" s="25" t="s">
        <v>158</v>
      </c>
      <c r="I11" s="25" t="s">
        <v>159</v>
      </c>
      <c r="J11" s="27"/>
    </row>
    <row r="12" spans="1:10" ht="64" customHeight="1">
      <c r="A12" s="31" t="s">
        <v>33</v>
      </c>
      <c r="B12" s="17" t="s">
        <v>121</v>
      </c>
      <c r="C12" s="17" t="s">
        <v>127</v>
      </c>
      <c r="D12" s="17">
        <v>30</v>
      </c>
      <c r="E12" s="17" t="s">
        <v>15</v>
      </c>
      <c r="F12" s="17" t="s">
        <v>160</v>
      </c>
      <c r="G12" s="17" t="s">
        <v>161</v>
      </c>
      <c r="H12" s="17" t="s">
        <v>162</v>
      </c>
      <c r="I12" s="17" t="s">
        <v>163</v>
      </c>
      <c r="J12" s="19"/>
    </row>
    <row r="13" spans="1:10" ht="64" customHeight="1">
      <c r="A13" s="33" t="s">
        <v>33</v>
      </c>
      <c r="B13" s="25" t="s">
        <v>127</v>
      </c>
      <c r="C13" s="25" t="s">
        <v>132</v>
      </c>
      <c r="D13" s="25">
        <v>25</v>
      </c>
      <c r="E13" s="25" t="s">
        <v>133</v>
      </c>
      <c r="F13" s="25" t="s">
        <v>164</v>
      </c>
      <c r="G13" s="25" t="s">
        <v>135</v>
      </c>
      <c r="H13" s="25" t="s">
        <v>136</v>
      </c>
      <c r="I13" s="25" t="s">
        <v>165</v>
      </c>
      <c r="J13" s="27"/>
    </row>
    <row r="14" spans="1:10" ht="64" customHeight="1">
      <c r="A14" s="31" t="s">
        <v>33</v>
      </c>
      <c r="B14" s="17" t="s">
        <v>132</v>
      </c>
      <c r="C14" s="17" t="s">
        <v>138</v>
      </c>
      <c r="D14" s="17">
        <v>25</v>
      </c>
      <c r="E14" s="17" t="s">
        <v>18</v>
      </c>
      <c r="F14" s="17" t="s">
        <v>166</v>
      </c>
      <c r="G14" s="17" t="s">
        <v>167</v>
      </c>
      <c r="H14" s="17" t="s">
        <v>168</v>
      </c>
      <c r="I14" s="17" t="s">
        <v>169</v>
      </c>
      <c r="J14" s="19"/>
    </row>
    <row r="15" spans="1:10" ht="64" customHeight="1">
      <c r="A15" s="33" t="s">
        <v>33</v>
      </c>
      <c r="B15" s="25" t="s">
        <v>138</v>
      </c>
      <c r="C15" s="25" t="s">
        <v>144</v>
      </c>
      <c r="D15" s="25">
        <v>20</v>
      </c>
      <c r="E15" s="25" t="s">
        <v>19</v>
      </c>
      <c r="F15" s="25" t="s">
        <v>170</v>
      </c>
      <c r="G15" s="25" t="s">
        <v>171</v>
      </c>
      <c r="H15" s="25" t="s">
        <v>172</v>
      </c>
      <c r="I15" s="25" t="s">
        <v>173</v>
      </c>
      <c r="J15" s="27"/>
    </row>
    <row r="16" spans="1:10" ht="64" customHeight="1">
      <c r="A16" s="32" t="s">
        <v>33</v>
      </c>
      <c r="B16" s="20" t="s">
        <v>144</v>
      </c>
      <c r="C16" s="20" t="s">
        <v>150</v>
      </c>
      <c r="D16" s="20">
        <v>10</v>
      </c>
      <c r="E16" s="20" t="s">
        <v>151</v>
      </c>
      <c r="F16" s="20" t="s">
        <v>174</v>
      </c>
      <c r="G16" s="20" t="s">
        <v>153</v>
      </c>
      <c r="H16" s="20" t="s">
        <v>154</v>
      </c>
      <c r="I16" s="20" t="s">
        <v>175</v>
      </c>
      <c r="J16" s="2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4374B"/>
  </sheetPr>
  <dimension ref="A1:Z250"/>
  <sheetViews>
    <sheetView showGridLines="0" zoomScale="80" zoomScaleNormal="80" workbookViewId="0">
      <pane ySplit="4" topLeftCell="A5" activePane="bottomLeft" state="frozen"/>
      <selection pane="bottomLeft" sqref="A1:I1"/>
    </sheetView>
  </sheetViews>
  <sheetFormatPr defaultRowHeight="13.8"/>
  <cols>
    <col min="1" max="2" width="20" customWidth="1"/>
    <col min="3" max="4" width="30" customWidth="1"/>
    <col min="5" max="8" width="20" customWidth="1"/>
    <col min="9" max="9" width="40" customWidth="1"/>
  </cols>
  <sheetData>
    <row r="1" spans="1:26" ht="38.1" customHeight="1">
      <c r="A1" s="60" t="s">
        <v>176</v>
      </c>
      <c r="B1" s="61"/>
      <c r="C1" s="61"/>
      <c r="D1" s="61"/>
      <c r="E1" s="61"/>
      <c r="F1" s="61"/>
      <c r="G1" s="61"/>
      <c r="H1" s="61"/>
      <c r="I1" s="62"/>
    </row>
    <row r="2" spans="1:26" ht="30" customHeight="1">
      <c r="A2" s="63" t="s">
        <v>177</v>
      </c>
      <c r="B2" s="64"/>
      <c r="C2" s="64"/>
      <c r="D2" s="64"/>
      <c r="E2" s="64"/>
      <c r="F2" s="64"/>
      <c r="G2" s="64"/>
      <c r="H2" s="64"/>
      <c r="I2" s="65"/>
    </row>
    <row r="3" spans="1:26" ht="25" customHeight="1">
      <c r="A3" s="2"/>
      <c r="B3" s="3"/>
      <c r="C3" s="3"/>
      <c r="D3" s="3"/>
      <c r="E3" s="3"/>
      <c r="F3" s="3"/>
      <c r="G3" s="3"/>
      <c r="H3" s="3"/>
      <c r="I3" s="4"/>
    </row>
    <row r="4" spans="1:26" ht="14.1">
      <c r="A4" s="23" t="s">
        <v>178</v>
      </c>
      <c r="B4" s="10" t="s">
        <v>8</v>
      </c>
      <c r="C4" s="10" t="s">
        <v>179</v>
      </c>
      <c r="D4" s="10" t="s">
        <v>44</v>
      </c>
      <c r="E4" s="10" t="s">
        <v>180</v>
      </c>
      <c r="F4" s="10" t="s">
        <v>10</v>
      </c>
      <c r="G4" s="10" t="s">
        <v>181</v>
      </c>
      <c r="H4" s="10" t="s">
        <v>182</v>
      </c>
      <c r="I4" s="24" t="s">
        <v>183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4.1" customHeight="1">
      <c r="A5" s="28"/>
      <c r="B5" s="25"/>
      <c r="C5" s="25"/>
      <c r="D5" s="25"/>
      <c r="E5" s="43"/>
      <c r="F5" s="25"/>
      <c r="G5" s="42"/>
      <c r="H5" s="25"/>
      <c r="I5" s="2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4.1" customHeight="1">
      <c r="A6" s="29"/>
      <c r="B6" s="17"/>
      <c r="C6" s="17"/>
      <c r="D6" s="17"/>
      <c r="E6" s="44"/>
      <c r="F6" s="17"/>
      <c r="G6" s="40"/>
      <c r="H6" s="17"/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4.1" customHeight="1">
      <c r="A7" s="28"/>
      <c r="B7" s="25"/>
      <c r="C7" s="25"/>
      <c r="D7" s="25"/>
      <c r="E7" s="43"/>
      <c r="F7" s="25"/>
      <c r="G7" s="42"/>
      <c r="H7" s="25"/>
      <c r="I7" s="2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" customHeight="1">
      <c r="A8" s="29"/>
      <c r="B8" s="17"/>
      <c r="C8" s="17"/>
      <c r="D8" s="17"/>
      <c r="E8" s="44"/>
      <c r="F8" s="17"/>
      <c r="G8" s="40"/>
      <c r="H8" s="17"/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" customHeight="1">
      <c r="A9" s="28"/>
      <c r="B9" s="25"/>
      <c r="C9" s="25"/>
      <c r="D9" s="25"/>
      <c r="E9" s="43"/>
      <c r="F9" s="25"/>
      <c r="G9" s="42"/>
      <c r="H9" s="25"/>
      <c r="I9" s="2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" customHeight="1">
      <c r="A10" s="29"/>
      <c r="B10" s="17"/>
      <c r="C10" s="17"/>
      <c r="D10" s="17"/>
      <c r="E10" s="44"/>
      <c r="F10" s="17"/>
      <c r="G10" s="40"/>
      <c r="H10" s="17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" customHeight="1">
      <c r="A11" s="28"/>
      <c r="B11" s="25"/>
      <c r="C11" s="25"/>
      <c r="D11" s="25"/>
      <c r="E11" s="43"/>
      <c r="F11" s="25"/>
      <c r="G11" s="42"/>
      <c r="H11" s="25"/>
      <c r="I11" s="2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>
      <c r="A12" s="29"/>
      <c r="B12" s="17"/>
      <c r="C12" s="17"/>
      <c r="D12" s="17"/>
      <c r="E12" s="44"/>
      <c r="F12" s="17"/>
      <c r="G12" s="40"/>
      <c r="H12" s="17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>
      <c r="A13" s="28"/>
      <c r="B13" s="25"/>
      <c r="C13" s="25"/>
      <c r="D13" s="25"/>
      <c r="E13" s="43"/>
      <c r="F13" s="25"/>
      <c r="G13" s="42"/>
      <c r="H13" s="25"/>
      <c r="I13" s="2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" customHeight="1">
      <c r="A14" s="29"/>
      <c r="B14" s="17"/>
      <c r="C14" s="17"/>
      <c r="D14" s="17"/>
      <c r="E14" s="44"/>
      <c r="F14" s="17"/>
      <c r="G14" s="40"/>
      <c r="H14" s="17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" customHeight="1">
      <c r="A15" s="28"/>
      <c r="B15" s="25"/>
      <c r="C15" s="25"/>
      <c r="D15" s="25"/>
      <c r="E15" s="43"/>
      <c r="F15" s="25"/>
      <c r="G15" s="42"/>
      <c r="H15" s="25"/>
      <c r="I15" s="2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>
      <c r="A16" s="29"/>
      <c r="B16" s="17"/>
      <c r="C16" s="17"/>
      <c r="D16" s="17"/>
      <c r="E16" s="44"/>
      <c r="F16" s="17"/>
      <c r="G16" s="40"/>
      <c r="H16" s="17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" customHeight="1">
      <c r="A17" s="28"/>
      <c r="B17" s="25"/>
      <c r="C17" s="25"/>
      <c r="D17" s="25"/>
      <c r="E17" s="43"/>
      <c r="F17" s="25"/>
      <c r="G17" s="42"/>
      <c r="H17" s="25"/>
      <c r="I17" s="2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" customHeight="1">
      <c r="A18" s="29"/>
      <c r="B18" s="17"/>
      <c r="C18" s="17"/>
      <c r="D18" s="17"/>
      <c r="E18" s="44"/>
      <c r="F18" s="17"/>
      <c r="G18" s="40"/>
      <c r="H18" s="17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" customHeight="1">
      <c r="A19" s="28"/>
      <c r="B19" s="25"/>
      <c r="C19" s="25"/>
      <c r="D19" s="25"/>
      <c r="E19" s="43"/>
      <c r="F19" s="25"/>
      <c r="G19" s="42"/>
      <c r="H19" s="25"/>
      <c r="I19" s="2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" customHeight="1">
      <c r="A20" s="29"/>
      <c r="B20" s="17"/>
      <c r="C20" s="17"/>
      <c r="D20" s="17"/>
      <c r="E20" s="44"/>
      <c r="F20" s="17"/>
      <c r="G20" s="40"/>
      <c r="H20" s="17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>
      <c r="A21" s="28"/>
      <c r="B21" s="25"/>
      <c r="C21" s="25"/>
      <c r="D21" s="25"/>
      <c r="E21" s="43"/>
      <c r="F21" s="25"/>
      <c r="G21" s="42"/>
      <c r="H21" s="25"/>
      <c r="I21" s="2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>
      <c r="A22" s="29"/>
      <c r="B22" s="17"/>
      <c r="C22" s="17"/>
      <c r="D22" s="17"/>
      <c r="E22" s="44"/>
      <c r="F22" s="17"/>
      <c r="G22" s="40"/>
      <c r="H22" s="17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>
      <c r="A23" s="28"/>
      <c r="B23" s="25"/>
      <c r="C23" s="25"/>
      <c r="D23" s="25"/>
      <c r="E23" s="43"/>
      <c r="F23" s="25"/>
      <c r="G23" s="42"/>
      <c r="H23" s="25"/>
      <c r="I23" s="2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>
      <c r="A24" s="29"/>
      <c r="B24" s="17"/>
      <c r="C24" s="17"/>
      <c r="D24" s="17"/>
      <c r="E24" s="44"/>
      <c r="F24" s="17"/>
      <c r="G24" s="40"/>
      <c r="H24" s="17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" customHeight="1">
      <c r="A25" s="28"/>
      <c r="B25" s="25"/>
      <c r="C25" s="25"/>
      <c r="D25" s="25"/>
      <c r="E25" s="43"/>
      <c r="F25" s="25"/>
      <c r="G25" s="42"/>
      <c r="H25" s="25"/>
      <c r="I25" s="2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" customHeight="1">
      <c r="A26" s="29"/>
      <c r="B26" s="17"/>
      <c r="C26" s="17"/>
      <c r="D26" s="17"/>
      <c r="E26" s="44"/>
      <c r="F26" s="17"/>
      <c r="G26" s="40"/>
      <c r="H26" s="17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" customHeight="1">
      <c r="A27" s="28"/>
      <c r="B27" s="25"/>
      <c r="C27" s="25"/>
      <c r="D27" s="25"/>
      <c r="E27" s="43"/>
      <c r="F27" s="25"/>
      <c r="G27" s="42"/>
      <c r="H27" s="25"/>
      <c r="I27" s="2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>
      <c r="A28" s="29"/>
      <c r="B28" s="17"/>
      <c r="C28" s="17"/>
      <c r="D28" s="17"/>
      <c r="E28" s="44"/>
      <c r="F28" s="17"/>
      <c r="G28" s="40"/>
      <c r="H28" s="17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>
      <c r="A29" s="28"/>
      <c r="B29" s="25"/>
      <c r="C29" s="25"/>
      <c r="D29" s="25"/>
      <c r="E29" s="43"/>
      <c r="F29" s="25"/>
      <c r="G29" s="42"/>
      <c r="H29" s="25"/>
      <c r="I29" s="2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>
      <c r="A30" s="29"/>
      <c r="B30" s="17"/>
      <c r="C30" s="17"/>
      <c r="D30" s="17"/>
      <c r="E30" s="44"/>
      <c r="F30" s="17"/>
      <c r="G30" s="40"/>
      <c r="H30" s="17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" customHeight="1">
      <c r="A31" s="28"/>
      <c r="B31" s="25"/>
      <c r="C31" s="25"/>
      <c r="D31" s="25"/>
      <c r="E31" s="43"/>
      <c r="F31" s="25"/>
      <c r="G31" s="42"/>
      <c r="H31" s="25"/>
      <c r="I31" s="2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" customHeight="1">
      <c r="A32" s="29"/>
      <c r="B32" s="17"/>
      <c r="C32" s="17"/>
      <c r="D32" s="17"/>
      <c r="E32" s="44"/>
      <c r="F32" s="17"/>
      <c r="G32" s="40"/>
      <c r="H32" s="17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>
      <c r="A33" s="28"/>
      <c r="B33" s="25"/>
      <c r="C33" s="25"/>
      <c r="D33" s="25"/>
      <c r="E33" s="43"/>
      <c r="F33" s="25"/>
      <c r="G33" s="42"/>
      <c r="H33" s="25"/>
      <c r="I33" s="2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" customHeight="1">
      <c r="A34" s="29"/>
      <c r="B34" s="17"/>
      <c r="C34" s="17"/>
      <c r="D34" s="17"/>
      <c r="E34" s="44"/>
      <c r="F34" s="17"/>
      <c r="G34" s="40"/>
      <c r="H34" s="17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" customHeight="1">
      <c r="A35" s="28"/>
      <c r="B35" s="25"/>
      <c r="C35" s="25"/>
      <c r="D35" s="25"/>
      <c r="E35" s="43"/>
      <c r="F35" s="25"/>
      <c r="G35" s="42"/>
      <c r="H35" s="25"/>
      <c r="I35" s="2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" customHeight="1">
      <c r="A36" s="29"/>
      <c r="B36" s="17"/>
      <c r="C36" s="17"/>
      <c r="D36" s="17"/>
      <c r="E36" s="44"/>
      <c r="F36" s="17"/>
      <c r="G36" s="40"/>
      <c r="H36" s="17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" customHeight="1">
      <c r="A37" s="28"/>
      <c r="B37" s="25"/>
      <c r="C37" s="25"/>
      <c r="D37" s="25"/>
      <c r="E37" s="43"/>
      <c r="F37" s="25"/>
      <c r="G37" s="42"/>
      <c r="H37" s="25"/>
      <c r="I37" s="2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>
      <c r="A38" s="29"/>
      <c r="B38" s="17"/>
      <c r="C38" s="17"/>
      <c r="D38" s="17"/>
      <c r="E38" s="44"/>
      <c r="F38" s="17"/>
      <c r="G38" s="40"/>
      <c r="H38" s="17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>
      <c r="A39" s="28"/>
      <c r="B39" s="25"/>
      <c r="C39" s="25"/>
      <c r="D39" s="25"/>
      <c r="E39" s="43"/>
      <c r="F39" s="25"/>
      <c r="G39" s="42"/>
      <c r="H39" s="25"/>
      <c r="I39" s="2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>
      <c r="A40" s="29"/>
      <c r="B40" s="17"/>
      <c r="C40" s="17"/>
      <c r="D40" s="17"/>
      <c r="E40" s="44"/>
      <c r="F40" s="17"/>
      <c r="G40" s="40"/>
      <c r="H40" s="17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>
      <c r="A41" s="28"/>
      <c r="B41" s="25"/>
      <c r="C41" s="25"/>
      <c r="D41" s="25"/>
      <c r="E41" s="43"/>
      <c r="F41" s="25"/>
      <c r="G41" s="42"/>
      <c r="H41" s="25"/>
      <c r="I41" s="2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" customHeight="1">
      <c r="A42" s="29"/>
      <c r="B42" s="17"/>
      <c r="C42" s="17"/>
      <c r="D42" s="17"/>
      <c r="E42" s="44"/>
      <c r="F42" s="17"/>
      <c r="G42" s="40"/>
      <c r="H42" s="17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" customHeight="1">
      <c r="A43" s="28"/>
      <c r="B43" s="25"/>
      <c r="C43" s="25"/>
      <c r="D43" s="25"/>
      <c r="E43" s="43"/>
      <c r="F43" s="25"/>
      <c r="G43" s="42"/>
      <c r="H43" s="25"/>
      <c r="I43" s="2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" customHeight="1">
      <c r="A44" s="29"/>
      <c r="B44" s="17"/>
      <c r="C44" s="17"/>
      <c r="D44" s="17"/>
      <c r="E44" s="44"/>
      <c r="F44" s="17"/>
      <c r="G44" s="40"/>
      <c r="H44" s="17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>
      <c r="A45" s="28"/>
      <c r="B45" s="25"/>
      <c r="C45" s="25"/>
      <c r="D45" s="25"/>
      <c r="E45" s="43"/>
      <c r="F45" s="25"/>
      <c r="G45" s="42"/>
      <c r="H45" s="25"/>
      <c r="I45" s="2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>
      <c r="A46" s="29"/>
      <c r="B46" s="17"/>
      <c r="C46" s="17"/>
      <c r="D46" s="17"/>
      <c r="E46" s="44"/>
      <c r="F46" s="17"/>
      <c r="G46" s="40"/>
      <c r="H46" s="17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>
      <c r="A47" s="28"/>
      <c r="B47" s="25"/>
      <c r="C47" s="25"/>
      <c r="D47" s="25"/>
      <c r="E47" s="43"/>
      <c r="F47" s="25"/>
      <c r="G47" s="42"/>
      <c r="H47" s="25"/>
      <c r="I47" s="2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" customHeight="1">
      <c r="A48" s="29"/>
      <c r="B48" s="17"/>
      <c r="C48" s="17"/>
      <c r="D48" s="17"/>
      <c r="E48" s="44"/>
      <c r="F48" s="17"/>
      <c r="G48" s="40"/>
      <c r="H48" s="17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" customHeight="1">
      <c r="A49" s="28"/>
      <c r="B49" s="25"/>
      <c r="C49" s="25"/>
      <c r="D49" s="25"/>
      <c r="E49" s="43"/>
      <c r="F49" s="25"/>
      <c r="G49" s="42"/>
      <c r="H49" s="25"/>
      <c r="I49" s="2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>
      <c r="A50" s="29"/>
      <c r="B50" s="17"/>
      <c r="C50" s="17"/>
      <c r="D50" s="17"/>
      <c r="E50" s="44"/>
      <c r="F50" s="17"/>
      <c r="G50" s="40"/>
      <c r="H50" s="17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" customHeight="1">
      <c r="A51" s="28"/>
      <c r="B51" s="25"/>
      <c r="C51" s="25"/>
      <c r="D51" s="25"/>
      <c r="E51" s="43"/>
      <c r="F51" s="25"/>
      <c r="G51" s="42"/>
      <c r="H51" s="25"/>
      <c r="I51" s="2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" customHeight="1">
      <c r="A52" s="29"/>
      <c r="B52" s="17"/>
      <c r="C52" s="17"/>
      <c r="D52" s="17"/>
      <c r="E52" s="44"/>
      <c r="F52" s="17"/>
      <c r="G52" s="40"/>
      <c r="H52" s="17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" customHeight="1">
      <c r="A53" s="28"/>
      <c r="B53" s="25"/>
      <c r="C53" s="25"/>
      <c r="D53" s="25"/>
      <c r="E53" s="43"/>
      <c r="F53" s="25"/>
      <c r="G53" s="42"/>
      <c r="H53" s="25"/>
      <c r="I53" s="2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" customHeight="1">
      <c r="A54" s="29"/>
      <c r="B54" s="17"/>
      <c r="C54" s="17"/>
      <c r="D54" s="17"/>
      <c r="E54" s="44"/>
      <c r="F54" s="17"/>
      <c r="G54" s="40"/>
      <c r="H54" s="17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>
      <c r="A55" s="28"/>
      <c r="B55" s="25"/>
      <c r="C55" s="25"/>
      <c r="D55" s="25"/>
      <c r="E55" s="43"/>
      <c r="F55" s="25"/>
      <c r="G55" s="42"/>
      <c r="H55" s="25"/>
      <c r="I55" s="2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>
      <c r="A56" s="29"/>
      <c r="B56" s="17"/>
      <c r="C56" s="17"/>
      <c r="D56" s="17"/>
      <c r="E56" s="44"/>
      <c r="F56" s="17"/>
      <c r="G56" s="40"/>
      <c r="H56" s="17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>
      <c r="A57" s="28"/>
      <c r="B57" s="25"/>
      <c r="C57" s="25"/>
      <c r="D57" s="25"/>
      <c r="E57" s="43"/>
      <c r="F57" s="25"/>
      <c r="G57" s="42"/>
      <c r="H57" s="25"/>
      <c r="I57" s="2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>
      <c r="A58" s="29"/>
      <c r="B58" s="17"/>
      <c r="C58" s="17"/>
      <c r="D58" s="17"/>
      <c r="E58" s="44"/>
      <c r="F58" s="17"/>
      <c r="G58" s="40"/>
      <c r="H58" s="17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" customHeight="1">
      <c r="A59" s="28"/>
      <c r="B59" s="25"/>
      <c r="C59" s="25"/>
      <c r="D59" s="25"/>
      <c r="E59" s="43"/>
      <c r="F59" s="25"/>
      <c r="G59" s="42"/>
      <c r="H59" s="25"/>
      <c r="I59" s="2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" customHeight="1">
      <c r="A60" s="29"/>
      <c r="B60" s="17"/>
      <c r="C60" s="17"/>
      <c r="D60" s="17"/>
      <c r="E60" s="44"/>
      <c r="F60" s="17"/>
      <c r="G60" s="40"/>
      <c r="H60" s="17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" customHeight="1">
      <c r="A61" s="28"/>
      <c r="B61" s="25"/>
      <c r="C61" s="25"/>
      <c r="D61" s="25"/>
      <c r="E61" s="43"/>
      <c r="F61" s="25"/>
      <c r="G61" s="42"/>
      <c r="H61" s="25"/>
      <c r="I61" s="2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>
      <c r="A62" s="29"/>
      <c r="B62" s="17"/>
      <c r="C62" s="17"/>
      <c r="D62" s="17"/>
      <c r="E62" s="44"/>
      <c r="F62" s="17"/>
      <c r="G62" s="40"/>
      <c r="H62" s="17"/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" customHeight="1">
      <c r="A63" s="28"/>
      <c r="B63" s="25"/>
      <c r="C63" s="25"/>
      <c r="D63" s="25"/>
      <c r="E63" s="43"/>
      <c r="F63" s="25"/>
      <c r="G63" s="42"/>
      <c r="H63" s="25"/>
      <c r="I63" s="2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" customHeight="1">
      <c r="A64" s="29"/>
      <c r="B64" s="17"/>
      <c r="C64" s="17"/>
      <c r="D64" s="17"/>
      <c r="E64" s="44"/>
      <c r="F64" s="17"/>
      <c r="G64" s="40"/>
      <c r="H64" s="17"/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" customHeight="1">
      <c r="A65" s="28"/>
      <c r="B65" s="25"/>
      <c r="C65" s="25"/>
      <c r="D65" s="25"/>
      <c r="E65" s="43"/>
      <c r="F65" s="25"/>
      <c r="G65" s="42"/>
      <c r="H65" s="25"/>
      <c r="I65" s="2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" customHeight="1">
      <c r="A66" s="29"/>
      <c r="B66" s="17"/>
      <c r="C66" s="17"/>
      <c r="D66" s="17"/>
      <c r="E66" s="44"/>
      <c r="F66" s="17"/>
      <c r="G66" s="40"/>
      <c r="H66" s="17"/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" customHeight="1">
      <c r="A67" s="28"/>
      <c r="B67" s="25"/>
      <c r="C67" s="25"/>
      <c r="D67" s="25"/>
      <c r="E67" s="43"/>
      <c r="F67" s="25"/>
      <c r="G67" s="42"/>
      <c r="H67" s="25"/>
      <c r="I67" s="2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" customHeight="1">
      <c r="A68" s="29"/>
      <c r="B68" s="17"/>
      <c r="C68" s="17"/>
      <c r="D68" s="17"/>
      <c r="E68" s="44"/>
      <c r="F68" s="17"/>
      <c r="G68" s="40"/>
      <c r="H68" s="17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" customHeight="1">
      <c r="A69" s="28"/>
      <c r="B69" s="25"/>
      <c r="C69" s="25"/>
      <c r="D69" s="25"/>
      <c r="E69" s="43"/>
      <c r="F69" s="25"/>
      <c r="G69" s="42"/>
      <c r="H69" s="25"/>
      <c r="I69" s="2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" customHeight="1">
      <c r="A70" s="29"/>
      <c r="B70" s="17"/>
      <c r="C70" s="17"/>
      <c r="D70" s="17"/>
      <c r="E70" s="44"/>
      <c r="F70" s="17"/>
      <c r="G70" s="40"/>
      <c r="H70" s="17"/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" customHeight="1">
      <c r="A71" s="28"/>
      <c r="B71" s="25"/>
      <c r="C71" s="25"/>
      <c r="D71" s="25"/>
      <c r="E71" s="43"/>
      <c r="F71" s="25"/>
      <c r="G71" s="42"/>
      <c r="H71" s="25"/>
      <c r="I71" s="2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" customHeight="1">
      <c r="A72" s="29"/>
      <c r="B72" s="17"/>
      <c r="C72" s="17"/>
      <c r="D72" s="17"/>
      <c r="E72" s="44"/>
      <c r="F72" s="17"/>
      <c r="G72" s="40"/>
      <c r="H72" s="17"/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" customHeight="1">
      <c r="A73" s="28"/>
      <c r="B73" s="25"/>
      <c r="C73" s="25"/>
      <c r="D73" s="25"/>
      <c r="E73" s="43"/>
      <c r="F73" s="25"/>
      <c r="G73" s="42"/>
      <c r="H73" s="25"/>
      <c r="I73" s="2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" customHeight="1">
      <c r="A74" s="29"/>
      <c r="B74" s="17"/>
      <c r="C74" s="17"/>
      <c r="D74" s="17"/>
      <c r="E74" s="44"/>
      <c r="F74" s="17"/>
      <c r="G74" s="40"/>
      <c r="H74" s="17"/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" customHeight="1">
      <c r="A75" s="28"/>
      <c r="B75" s="25"/>
      <c r="C75" s="25"/>
      <c r="D75" s="25"/>
      <c r="E75" s="43"/>
      <c r="F75" s="25"/>
      <c r="G75" s="42"/>
      <c r="H75" s="25"/>
      <c r="I75" s="2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" customHeight="1">
      <c r="A76" s="29"/>
      <c r="B76" s="17"/>
      <c r="C76" s="17"/>
      <c r="D76" s="17"/>
      <c r="E76" s="44"/>
      <c r="F76" s="17"/>
      <c r="G76" s="40"/>
      <c r="H76" s="17"/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" customHeight="1">
      <c r="A77" s="28"/>
      <c r="B77" s="25"/>
      <c r="C77" s="25"/>
      <c r="D77" s="25"/>
      <c r="E77" s="43"/>
      <c r="F77" s="25"/>
      <c r="G77" s="42"/>
      <c r="H77" s="25"/>
      <c r="I77" s="2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" customHeight="1">
      <c r="A78" s="29"/>
      <c r="B78" s="17"/>
      <c r="C78" s="17"/>
      <c r="D78" s="17"/>
      <c r="E78" s="44"/>
      <c r="F78" s="17"/>
      <c r="G78" s="40"/>
      <c r="H78" s="17"/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" customHeight="1">
      <c r="A79" s="28"/>
      <c r="B79" s="25"/>
      <c r="C79" s="25"/>
      <c r="D79" s="25"/>
      <c r="E79" s="43"/>
      <c r="F79" s="25"/>
      <c r="G79" s="42"/>
      <c r="H79" s="25"/>
      <c r="I79" s="2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" customHeight="1">
      <c r="A80" s="29"/>
      <c r="B80" s="17"/>
      <c r="C80" s="17"/>
      <c r="D80" s="17"/>
      <c r="E80" s="44"/>
      <c r="F80" s="17"/>
      <c r="G80" s="40"/>
      <c r="H80" s="17"/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" customHeight="1">
      <c r="A81" s="28"/>
      <c r="B81" s="25"/>
      <c r="C81" s="25"/>
      <c r="D81" s="25"/>
      <c r="E81" s="43"/>
      <c r="F81" s="25"/>
      <c r="G81" s="42"/>
      <c r="H81" s="25"/>
      <c r="I81" s="2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" customHeight="1">
      <c r="A82" s="29"/>
      <c r="B82" s="17"/>
      <c r="C82" s="17"/>
      <c r="D82" s="17"/>
      <c r="E82" s="44"/>
      <c r="F82" s="17"/>
      <c r="G82" s="40"/>
      <c r="H82" s="17"/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" customHeight="1">
      <c r="A83" s="28"/>
      <c r="B83" s="25"/>
      <c r="C83" s="25"/>
      <c r="D83" s="25"/>
      <c r="E83" s="43"/>
      <c r="F83" s="25"/>
      <c r="G83" s="42"/>
      <c r="H83" s="25"/>
      <c r="I83" s="2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" customHeight="1">
      <c r="A84" s="29"/>
      <c r="B84" s="17"/>
      <c r="C84" s="17"/>
      <c r="D84" s="17"/>
      <c r="E84" s="44"/>
      <c r="F84" s="17"/>
      <c r="G84" s="40"/>
      <c r="H84" s="17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" customHeight="1">
      <c r="A85" s="28"/>
      <c r="B85" s="25"/>
      <c r="C85" s="25"/>
      <c r="D85" s="25"/>
      <c r="E85" s="43"/>
      <c r="F85" s="25"/>
      <c r="G85" s="42"/>
      <c r="H85" s="25"/>
      <c r="I85" s="2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" customHeight="1">
      <c r="A86" s="29"/>
      <c r="B86" s="17"/>
      <c r="C86" s="17"/>
      <c r="D86" s="17"/>
      <c r="E86" s="44"/>
      <c r="F86" s="17"/>
      <c r="G86" s="40"/>
      <c r="H86" s="17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" customHeight="1">
      <c r="A87" s="28"/>
      <c r="B87" s="25"/>
      <c r="C87" s="25"/>
      <c r="D87" s="25"/>
      <c r="E87" s="43"/>
      <c r="F87" s="25"/>
      <c r="G87" s="42"/>
      <c r="H87" s="25"/>
      <c r="I87" s="2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" customHeight="1">
      <c r="A88" s="29"/>
      <c r="B88" s="17"/>
      <c r="C88" s="17"/>
      <c r="D88" s="17"/>
      <c r="E88" s="44"/>
      <c r="F88" s="17"/>
      <c r="G88" s="40"/>
      <c r="H88" s="17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" customHeight="1">
      <c r="A89" s="28"/>
      <c r="B89" s="25"/>
      <c r="C89" s="25"/>
      <c r="D89" s="25"/>
      <c r="E89" s="43"/>
      <c r="F89" s="25"/>
      <c r="G89" s="42"/>
      <c r="H89" s="25"/>
      <c r="I89" s="2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" customHeight="1">
      <c r="A90" s="29"/>
      <c r="B90" s="17"/>
      <c r="C90" s="17"/>
      <c r="D90" s="17"/>
      <c r="E90" s="44"/>
      <c r="F90" s="17"/>
      <c r="G90" s="40"/>
      <c r="H90" s="17"/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" customHeight="1">
      <c r="A91" s="28"/>
      <c r="B91" s="25"/>
      <c r="C91" s="25"/>
      <c r="D91" s="25"/>
      <c r="E91" s="43"/>
      <c r="F91" s="25"/>
      <c r="G91" s="42"/>
      <c r="H91" s="25"/>
      <c r="I91" s="2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" customHeight="1">
      <c r="A92" s="29"/>
      <c r="B92" s="17"/>
      <c r="C92" s="17"/>
      <c r="D92" s="17"/>
      <c r="E92" s="44"/>
      <c r="F92" s="17"/>
      <c r="G92" s="40"/>
      <c r="H92" s="17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" customHeight="1">
      <c r="A93" s="28"/>
      <c r="B93" s="25"/>
      <c r="C93" s="25"/>
      <c r="D93" s="25"/>
      <c r="E93" s="43"/>
      <c r="F93" s="25"/>
      <c r="G93" s="42"/>
      <c r="H93" s="25"/>
      <c r="I93" s="2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" customHeight="1">
      <c r="A94" s="29"/>
      <c r="B94" s="17"/>
      <c r="C94" s="17"/>
      <c r="D94" s="17"/>
      <c r="E94" s="44"/>
      <c r="F94" s="17"/>
      <c r="G94" s="40"/>
      <c r="H94" s="17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" customHeight="1">
      <c r="A95" s="28"/>
      <c r="B95" s="25"/>
      <c r="C95" s="25"/>
      <c r="D95" s="25"/>
      <c r="E95" s="43"/>
      <c r="F95" s="25"/>
      <c r="G95" s="42"/>
      <c r="H95" s="25"/>
      <c r="I95" s="2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" customHeight="1">
      <c r="A96" s="29"/>
      <c r="B96" s="17"/>
      <c r="C96" s="17"/>
      <c r="D96" s="17"/>
      <c r="E96" s="44"/>
      <c r="F96" s="17"/>
      <c r="G96" s="40"/>
      <c r="H96" s="17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" customHeight="1">
      <c r="A97" s="28"/>
      <c r="B97" s="25"/>
      <c r="C97" s="25"/>
      <c r="D97" s="25"/>
      <c r="E97" s="43"/>
      <c r="F97" s="25"/>
      <c r="G97" s="42"/>
      <c r="H97" s="25"/>
      <c r="I97" s="2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" customHeight="1">
      <c r="A98" s="29"/>
      <c r="B98" s="17"/>
      <c r="C98" s="17"/>
      <c r="D98" s="17"/>
      <c r="E98" s="44"/>
      <c r="F98" s="17"/>
      <c r="G98" s="40"/>
      <c r="H98" s="17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" customHeight="1">
      <c r="A99" s="28"/>
      <c r="B99" s="25"/>
      <c r="C99" s="25"/>
      <c r="D99" s="25"/>
      <c r="E99" s="43"/>
      <c r="F99" s="25"/>
      <c r="G99" s="42"/>
      <c r="H99" s="25"/>
      <c r="I99" s="2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" customHeight="1">
      <c r="A100" s="29"/>
      <c r="B100" s="17"/>
      <c r="C100" s="17"/>
      <c r="D100" s="17"/>
      <c r="E100" s="44"/>
      <c r="F100" s="17"/>
      <c r="G100" s="40"/>
      <c r="H100" s="17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" customHeight="1">
      <c r="A101" s="28"/>
      <c r="B101" s="25"/>
      <c r="C101" s="25"/>
      <c r="D101" s="25"/>
      <c r="E101" s="43"/>
      <c r="F101" s="25"/>
      <c r="G101" s="42"/>
      <c r="H101" s="25"/>
      <c r="I101" s="2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" customHeight="1">
      <c r="A102" s="29"/>
      <c r="B102" s="17"/>
      <c r="C102" s="17"/>
      <c r="D102" s="17"/>
      <c r="E102" s="44"/>
      <c r="F102" s="17"/>
      <c r="G102" s="40"/>
      <c r="H102" s="17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" customHeight="1">
      <c r="A103" s="28"/>
      <c r="B103" s="25"/>
      <c r="C103" s="25"/>
      <c r="D103" s="25"/>
      <c r="E103" s="43"/>
      <c r="F103" s="25"/>
      <c r="G103" s="42"/>
      <c r="H103" s="25"/>
      <c r="I103" s="2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" customHeight="1">
      <c r="A104" s="30"/>
      <c r="B104" s="20"/>
      <c r="C104" s="20"/>
      <c r="D104" s="20"/>
      <c r="E104" s="45"/>
      <c r="F104" s="20"/>
      <c r="G104" s="41"/>
      <c r="H104" s="20"/>
      <c r="I104" s="2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mergeCells count="2">
    <mergeCell ref="A1:I1"/>
    <mergeCell ref="A2:I2"/>
  </mergeCells>
  <conditionalFormatting sqref="F5:F104">
    <cfRule type="expression" dxfId="2" priority="1">
      <formula>F5="Completed"</formula>
    </cfRule>
    <cfRule type="expression" dxfId="1" priority="2">
      <formula>F5="In Progress"</formula>
    </cfRule>
    <cfRule type="expression" dxfId="0" priority="3">
      <formula>F5="Needs Revision"</formula>
    </cfRule>
  </conditionalFormatting>
  <conditionalFormatting sqref="G5:G104">
    <cfRule type="colorScale" priority="4">
      <colorScale>
        <cfvo type="min"/>
        <cfvo type="percentile" val="50"/>
        <cfvo type="max"/>
        <color rgb="FFF4CCCC"/>
        <color rgb="FFFCE5CD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Lists!$A$5:$A$7</xm:f>
          </x14:formula1>
          <xm:sqref>B5:B104</xm:sqref>
        </x14:dataValidation>
        <x14:dataValidation type="list" xr:uid="{00000000-0002-0000-0700-000001000000}">
          <x14:formula1>
            <xm:f>Lists!$D$5:$D$13</xm:f>
          </x14:formula1>
          <xm:sqref>D5:D104</xm:sqref>
        </x14:dataValidation>
        <x14:dataValidation type="list" xr:uid="{00000000-0002-0000-0700-000002000000}">
          <x14:formula1>
            <xm:f>Lists!$E$5:$E$8</xm:f>
          </x14:formula1>
          <xm:sqref>F5:F104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4374B"/>
  </sheetPr>
  <dimension ref="A1:Z250"/>
  <sheetViews>
    <sheetView showGridLines="0" zoomScale="80" zoomScaleNormal="80" workbookViewId="0">
      <pane ySplit="4" topLeftCell="A5" activePane="bottomLeft" state="frozen"/>
      <selection pane="bottomLeft" sqref="A1:I1"/>
    </sheetView>
  </sheetViews>
  <sheetFormatPr defaultRowHeight="13.8"/>
  <cols>
    <col min="1" max="8" width="20" customWidth="1"/>
    <col min="9" max="9" width="40" customWidth="1"/>
  </cols>
  <sheetData>
    <row r="1" spans="1:26" ht="38.1" customHeight="1">
      <c r="A1" s="60" t="s">
        <v>184</v>
      </c>
      <c r="B1" s="61"/>
      <c r="C1" s="61"/>
      <c r="D1" s="61"/>
      <c r="E1" s="61"/>
      <c r="F1" s="61"/>
      <c r="G1" s="61"/>
      <c r="H1" s="61"/>
      <c r="I1" s="62"/>
    </row>
    <row r="2" spans="1:26" ht="30" customHeight="1">
      <c r="A2" s="63" t="s">
        <v>185</v>
      </c>
      <c r="B2" s="64"/>
      <c r="C2" s="64"/>
      <c r="D2" s="64"/>
      <c r="E2" s="64"/>
      <c r="F2" s="64"/>
      <c r="G2" s="64"/>
      <c r="H2" s="64"/>
      <c r="I2" s="65"/>
    </row>
    <row r="3" spans="1:26" ht="25" customHeight="1">
      <c r="A3" s="2"/>
      <c r="B3" s="3"/>
      <c r="C3" s="3"/>
      <c r="D3" s="3"/>
      <c r="E3" s="3"/>
      <c r="F3" s="3"/>
      <c r="G3" s="3"/>
      <c r="H3" s="3"/>
      <c r="I3" s="4"/>
    </row>
    <row r="4" spans="1:26" ht="14.1">
      <c r="A4" s="23" t="s">
        <v>26</v>
      </c>
      <c r="B4" s="10" t="s">
        <v>8</v>
      </c>
      <c r="C4" s="10" t="s">
        <v>14</v>
      </c>
      <c r="D4" s="10" t="s">
        <v>186</v>
      </c>
      <c r="E4" s="10" t="s">
        <v>187</v>
      </c>
      <c r="F4" s="10" t="s">
        <v>188</v>
      </c>
      <c r="G4" s="10" t="s">
        <v>189</v>
      </c>
      <c r="H4" s="10" t="s">
        <v>190</v>
      </c>
      <c r="I4" s="24" t="s">
        <v>31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4.1" customHeight="1">
      <c r="A5" s="28"/>
      <c r="B5" s="25"/>
      <c r="C5" s="25"/>
      <c r="D5" s="25"/>
      <c r="E5" s="25"/>
      <c r="F5" s="25"/>
      <c r="G5" s="42" t="str">
        <f t="shared" ref="G5:G36" si="0">IF(OR(E5="",F5=""),"",F5/E5)</f>
        <v/>
      </c>
      <c r="H5" s="25" t="str">
        <f t="shared" ref="H5:H36" si="1">IF(G5="","",IF(G5&gt;=0.9,"Excellent",IF(G5&gt;=0.75,"Secure",IF(G5&gt;=0.6,"Developing","Needs Revision"))))</f>
        <v/>
      </c>
      <c r="I5" s="2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4.1" customHeight="1">
      <c r="A6" s="29"/>
      <c r="B6" s="17"/>
      <c r="C6" s="17"/>
      <c r="D6" s="17"/>
      <c r="E6" s="17"/>
      <c r="F6" s="17"/>
      <c r="G6" s="40" t="str">
        <f t="shared" si="0"/>
        <v/>
      </c>
      <c r="H6" s="17" t="str">
        <f t="shared" si="1"/>
        <v/>
      </c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4.1" customHeight="1">
      <c r="A7" s="28"/>
      <c r="B7" s="25"/>
      <c r="C7" s="25"/>
      <c r="D7" s="25"/>
      <c r="E7" s="25"/>
      <c r="F7" s="25"/>
      <c r="G7" s="42" t="str">
        <f t="shared" si="0"/>
        <v/>
      </c>
      <c r="H7" s="25" t="str">
        <f t="shared" si="1"/>
        <v/>
      </c>
      <c r="I7" s="2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" customHeight="1">
      <c r="A8" s="29"/>
      <c r="B8" s="17"/>
      <c r="C8" s="17"/>
      <c r="D8" s="17"/>
      <c r="E8" s="17"/>
      <c r="F8" s="17"/>
      <c r="G8" s="40" t="str">
        <f t="shared" si="0"/>
        <v/>
      </c>
      <c r="H8" s="17" t="str">
        <f t="shared" si="1"/>
        <v/>
      </c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" customHeight="1">
      <c r="A9" s="28"/>
      <c r="B9" s="25"/>
      <c r="C9" s="25"/>
      <c r="D9" s="25"/>
      <c r="E9" s="25"/>
      <c r="F9" s="25"/>
      <c r="G9" s="42" t="str">
        <f t="shared" si="0"/>
        <v/>
      </c>
      <c r="H9" s="25" t="str">
        <f t="shared" si="1"/>
        <v/>
      </c>
      <c r="I9" s="2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" customHeight="1">
      <c r="A10" s="29"/>
      <c r="B10" s="17"/>
      <c r="C10" s="17"/>
      <c r="D10" s="17"/>
      <c r="E10" s="17"/>
      <c r="F10" s="17"/>
      <c r="G10" s="40" t="str">
        <f t="shared" si="0"/>
        <v/>
      </c>
      <c r="H10" s="17" t="str">
        <f t="shared" si="1"/>
        <v/>
      </c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" customHeight="1">
      <c r="A11" s="28"/>
      <c r="B11" s="25"/>
      <c r="C11" s="25"/>
      <c r="D11" s="25"/>
      <c r="E11" s="25"/>
      <c r="F11" s="25"/>
      <c r="G11" s="42" t="str">
        <f t="shared" si="0"/>
        <v/>
      </c>
      <c r="H11" s="25" t="str">
        <f t="shared" si="1"/>
        <v/>
      </c>
      <c r="I11" s="2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>
      <c r="A12" s="29"/>
      <c r="B12" s="17"/>
      <c r="C12" s="17"/>
      <c r="D12" s="17"/>
      <c r="E12" s="17"/>
      <c r="F12" s="17"/>
      <c r="G12" s="40" t="str">
        <f t="shared" si="0"/>
        <v/>
      </c>
      <c r="H12" s="17" t="str">
        <f t="shared" si="1"/>
        <v/>
      </c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>
      <c r="A13" s="28"/>
      <c r="B13" s="25"/>
      <c r="C13" s="25"/>
      <c r="D13" s="25"/>
      <c r="E13" s="25"/>
      <c r="F13" s="25"/>
      <c r="G13" s="42" t="str">
        <f t="shared" si="0"/>
        <v/>
      </c>
      <c r="H13" s="25" t="str">
        <f t="shared" si="1"/>
        <v/>
      </c>
      <c r="I13" s="2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" customHeight="1">
      <c r="A14" s="29"/>
      <c r="B14" s="17"/>
      <c r="C14" s="17"/>
      <c r="D14" s="17"/>
      <c r="E14" s="17"/>
      <c r="F14" s="17"/>
      <c r="G14" s="40" t="str">
        <f t="shared" si="0"/>
        <v/>
      </c>
      <c r="H14" s="17" t="str">
        <f t="shared" si="1"/>
        <v/>
      </c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" customHeight="1">
      <c r="A15" s="28"/>
      <c r="B15" s="25"/>
      <c r="C15" s="25"/>
      <c r="D15" s="25"/>
      <c r="E15" s="25"/>
      <c r="F15" s="25"/>
      <c r="G15" s="42" t="str">
        <f t="shared" si="0"/>
        <v/>
      </c>
      <c r="H15" s="25" t="str">
        <f t="shared" si="1"/>
        <v/>
      </c>
      <c r="I15" s="2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>
      <c r="A16" s="29"/>
      <c r="B16" s="17"/>
      <c r="C16" s="17"/>
      <c r="D16" s="17"/>
      <c r="E16" s="17"/>
      <c r="F16" s="17"/>
      <c r="G16" s="40" t="str">
        <f t="shared" si="0"/>
        <v/>
      </c>
      <c r="H16" s="17" t="str">
        <f t="shared" si="1"/>
        <v/>
      </c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" customHeight="1">
      <c r="A17" s="28"/>
      <c r="B17" s="25"/>
      <c r="C17" s="25"/>
      <c r="D17" s="25"/>
      <c r="E17" s="25"/>
      <c r="F17" s="25"/>
      <c r="G17" s="42" t="str">
        <f t="shared" si="0"/>
        <v/>
      </c>
      <c r="H17" s="25" t="str">
        <f t="shared" si="1"/>
        <v/>
      </c>
      <c r="I17" s="2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" customHeight="1">
      <c r="A18" s="29"/>
      <c r="B18" s="17"/>
      <c r="C18" s="17"/>
      <c r="D18" s="17"/>
      <c r="E18" s="17"/>
      <c r="F18" s="17"/>
      <c r="G18" s="40" t="str">
        <f t="shared" si="0"/>
        <v/>
      </c>
      <c r="H18" s="17" t="str">
        <f t="shared" si="1"/>
        <v/>
      </c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" customHeight="1">
      <c r="A19" s="28"/>
      <c r="B19" s="25"/>
      <c r="C19" s="25"/>
      <c r="D19" s="25"/>
      <c r="E19" s="25"/>
      <c r="F19" s="25"/>
      <c r="G19" s="42" t="str">
        <f t="shared" si="0"/>
        <v/>
      </c>
      <c r="H19" s="25" t="str">
        <f t="shared" si="1"/>
        <v/>
      </c>
      <c r="I19" s="2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" customHeight="1">
      <c r="A20" s="29"/>
      <c r="B20" s="17"/>
      <c r="C20" s="17"/>
      <c r="D20" s="17"/>
      <c r="E20" s="17"/>
      <c r="F20" s="17"/>
      <c r="G20" s="40" t="str">
        <f t="shared" si="0"/>
        <v/>
      </c>
      <c r="H20" s="17" t="str">
        <f t="shared" si="1"/>
        <v/>
      </c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>
      <c r="A21" s="28"/>
      <c r="B21" s="25"/>
      <c r="C21" s="25"/>
      <c r="D21" s="25"/>
      <c r="E21" s="25"/>
      <c r="F21" s="25"/>
      <c r="G21" s="42" t="str">
        <f t="shared" si="0"/>
        <v/>
      </c>
      <c r="H21" s="25" t="str">
        <f t="shared" si="1"/>
        <v/>
      </c>
      <c r="I21" s="2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>
      <c r="A22" s="29"/>
      <c r="B22" s="17"/>
      <c r="C22" s="17"/>
      <c r="D22" s="17"/>
      <c r="E22" s="17"/>
      <c r="F22" s="17"/>
      <c r="G22" s="40" t="str">
        <f t="shared" si="0"/>
        <v/>
      </c>
      <c r="H22" s="17" t="str">
        <f t="shared" si="1"/>
        <v/>
      </c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>
      <c r="A23" s="28"/>
      <c r="B23" s="25"/>
      <c r="C23" s="25"/>
      <c r="D23" s="25"/>
      <c r="E23" s="25"/>
      <c r="F23" s="25"/>
      <c r="G23" s="42" t="str">
        <f t="shared" si="0"/>
        <v/>
      </c>
      <c r="H23" s="25" t="str">
        <f t="shared" si="1"/>
        <v/>
      </c>
      <c r="I23" s="2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>
      <c r="A24" s="29"/>
      <c r="B24" s="17"/>
      <c r="C24" s="17"/>
      <c r="D24" s="17"/>
      <c r="E24" s="17"/>
      <c r="F24" s="17"/>
      <c r="G24" s="40" t="str">
        <f t="shared" si="0"/>
        <v/>
      </c>
      <c r="H24" s="17" t="str">
        <f t="shared" si="1"/>
        <v/>
      </c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" customHeight="1">
      <c r="A25" s="28"/>
      <c r="B25" s="25"/>
      <c r="C25" s="25"/>
      <c r="D25" s="25"/>
      <c r="E25" s="25"/>
      <c r="F25" s="25"/>
      <c r="G25" s="42" t="str">
        <f t="shared" si="0"/>
        <v/>
      </c>
      <c r="H25" s="25" t="str">
        <f t="shared" si="1"/>
        <v/>
      </c>
      <c r="I25" s="2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" customHeight="1">
      <c r="A26" s="29"/>
      <c r="B26" s="17"/>
      <c r="C26" s="17"/>
      <c r="D26" s="17"/>
      <c r="E26" s="17"/>
      <c r="F26" s="17"/>
      <c r="G26" s="40" t="str">
        <f t="shared" si="0"/>
        <v/>
      </c>
      <c r="H26" s="17" t="str">
        <f t="shared" si="1"/>
        <v/>
      </c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" customHeight="1">
      <c r="A27" s="28"/>
      <c r="B27" s="25"/>
      <c r="C27" s="25"/>
      <c r="D27" s="25"/>
      <c r="E27" s="25"/>
      <c r="F27" s="25"/>
      <c r="G27" s="42" t="str">
        <f t="shared" si="0"/>
        <v/>
      </c>
      <c r="H27" s="25" t="str">
        <f t="shared" si="1"/>
        <v/>
      </c>
      <c r="I27" s="2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>
      <c r="A28" s="29"/>
      <c r="B28" s="17"/>
      <c r="C28" s="17"/>
      <c r="D28" s="17"/>
      <c r="E28" s="17"/>
      <c r="F28" s="17"/>
      <c r="G28" s="40" t="str">
        <f t="shared" si="0"/>
        <v/>
      </c>
      <c r="H28" s="17" t="str">
        <f t="shared" si="1"/>
        <v/>
      </c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>
      <c r="A29" s="28"/>
      <c r="B29" s="25"/>
      <c r="C29" s="25"/>
      <c r="D29" s="25"/>
      <c r="E29" s="25"/>
      <c r="F29" s="25"/>
      <c r="G29" s="42" t="str">
        <f t="shared" si="0"/>
        <v/>
      </c>
      <c r="H29" s="25" t="str">
        <f t="shared" si="1"/>
        <v/>
      </c>
      <c r="I29" s="2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>
      <c r="A30" s="29"/>
      <c r="B30" s="17"/>
      <c r="C30" s="17"/>
      <c r="D30" s="17"/>
      <c r="E30" s="17"/>
      <c r="F30" s="17"/>
      <c r="G30" s="40" t="str">
        <f t="shared" si="0"/>
        <v/>
      </c>
      <c r="H30" s="17" t="str">
        <f t="shared" si="1"/>
        <v/>
      </c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" customHeight="1">
      <c r="A31" s="28"/>
      <c r="B31" s="25"/>
      <c r="C31" s="25"/>
      <c r="D31" s="25"/>
      <c r="E31" s="25"/>
      <c r="F31" s="25"/>
      <c r="G31" s="42" t="str">
        <f t="shared" si="0"/>
        <v/>
      </c>
      <c r="H31" s="25" t="str">
        <f t="shared" si="1"/>
        <v/>
      </c>
      <c r="I31" s="2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" customHeight="1">
      <c r="A32" s="29"/>
      <c r="B32" s="17"/>
      <c r="C32" s="17"/>
      <c r="D32" s="17"/>
      <c r="E32" s="17"/>
      <c r="F32" s="17"/>
      <c r="G32" s="40" t="str">
        <f t="shared" si="0"/>
        <v/>
      </c>
      <c r="H32" s="17" t="str">
        <f t="shared" si="1"/>
        <v/>
      </c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>
      <c r="A33" s="28"/>
      <c r="B33" s="25"/>
      <c r="C33" s="25"/>
      <c r="D33" s="25"/>
      <c r="E33" s="25"/>
      <c r="F33" s="25"/>
      <c r="G33" s="42" t="str">
        <f t="shared" si="0"/>
        <v/>
      </c>
      <c r="H33" s="25" t="str">
        <f t="shared" si="1"/>
        <v/>
      </c>
      <c r="I33" s="2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" customHeight="1">
      <c r="A34" s="29"/>
      <c r="B34" s="17"/>
      <c r="C34" s="17"/>
      <c r="D34" s="17"/>
      <c r="E34" s="17"/>
      <c r="F34" s="17"/>
      <c r="G34" s="40" t="str">
        <f t="shared" si="0"/>
        <v/>
      </c>
      <c r="H34" s="17" t="str">
        <f t="shared" si="1"/>
        <v/>
      </c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" customHeight="1">
      <c r="A35" s="28"/>
      <c r="B35" s="25"/>
      <c r="C35" s="25"/>
      <c r="D35" s="25"/>
      <c r="E35" s="25"/>
      <c r="F35" s="25"/>
      <c r="G35" s="42" t="str">
        <f t="shared" si="0"/>
        <v/>
      </c>
      <c r="H35" s="25" t="str">
        <f t="shared" si="1"/>
        <v/>
      </c>
      <c r="I35" s="2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" customHeight="1">
      <c r="A36" s="29"/>
      <c r="B36" s="17"/>
      <c r="C36" s="17"/>
      <c r="D36" s="17"/>
      <c r="E36" s="17"/>
      <c r="F36" s="17"/>
      <c r="G36" s="40" t="str">
        <f t="shared" si="0"/>
        <v/>
      </c>
      <c r="H36" s="17" t="str">
        <f t="shared" si="1"/>
        <v/>
      </c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" customHeight="1">
      <c r="A37" s="28"/>
      <c r="B37" s="25"/>
      <c r="C37" s="25"/>
      <c r="D37" s="25"/>
      <c r="E37" s="25"/>
      <c r="F37" s="25"/>
      <c r="G37" s="42" t="str">
        <f t="shared" ref="G37:G68" si="2">IF(OR(E37="",F37=""),"",F37/E37)</f>
        <v/>
      </c>
      <c r="H37" s="25" t="str">
        <f t="shared" ref="H37:H68" si="3">IF(G37="","",IF(G37&gt;=0.9,"Excellent",IF(G37&gt;=0.75,"Secure",IF(G37&gt;=0.6,"Developing","Needs Revision"))))</f>
        <v/>
      </c>
      <c r="I37" s="2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>
      <c r="A38" s="29"/>
      <c r="B38" s="17"/>
      <c r="C38" s="17"/>
      <c r="D38" s="17"/>
      <c r="E38" s="17"/>
      <c r="F38" s="17"/>
      <c r="G38" s="40" t="str">
        <f t="shared" si="2"/>
        <v/>
      </c>
      <c r="H38" s="17" t="str">
        <f t="shared" si="3"/>
        <v/>
      </c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>
      <c r="A39" s="28"/>
      <c r="B39" s="25"/>
      <c r="C39" s="25"/>
      <c r="D39" s="25"/>
      <c r="E39" s="25"/>
      <c r="F39" s="25"/>
      <c r="G39" s="42" t="str">
        <f t="shared" si="2"/>
        <v/>
      </c>
      <c r="H39" s="25" t="str">
        <f t="shared" si="3"/>
        <v/>
      </c>
      <c r="I39" s="2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>
      <c r="A40" s="29"/>
      <c r="B40" s="17"/>
      <c r="C40" s="17"/>
      <c r="D40" s="17"/>
      <c r="E40" s="17"/>
      <c r="F40" s="17"/>
      <c r="G40" s="40" t="str">
        <f t="shared" si="2"/>
        <v/>
      </c>
      <c r="H40" s="17" t="str">
        <f t="shared" si="3"/>
        <v/>
      </c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>
      <c r="A41" s="28"/>
      <c r="B41" s="25"/>
      <c r="C41" s="25"/>
      <c r="D41" s="25"/>
      <c r="E41" s="25"/>
      <c r="F41" s="25"/>
      <c r="G41" s="42" t="str">
        <f t="shared" si="2"/>
        <v/>
      </c>
      <c r="H41" s="25" t="str">
        <f t="shared" si="3"/>
        <v/>
      </c>
      <c r="I41" s="2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" customHeight="1">
      <c r="A42" s="29"/>
      <c r="B42" s="17"/>
      <c r="C42" s="17"/>
      <c r="D42" s="17"/>
      <c r="E42" s="17"/>
      <c r="F42" s="17"/>
      <c r="G42" s="40" t="str">
        <f t="shared" si="2"/>
        <v/>
      </c>
      <c r="H42" s="17" t="str">
        <f t="shared" si="3"/>
        <v/>
      </c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" customHeight="1">
      <c r="A43" s="28"/>
      <c r="B43" s="25"/>
      <c r="C43" s="25"/>
      <c r="D43" s="25"/>
      <c r="E43" s="25"/>
      <c r="F43" s="25"/>
      <c r="G43" s="42" t="str">
        <f t="shared" si="2"/>
        <v/>
      </c>
      <c r="H43" s="25" t="str">
        <f t="shared" si="3"/>
        <v/>
      </c>
      <c r="I43" s="2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" customHeight="1">
      <c r="A44" s="29"/>
      <c r="B44" s="17"/>
      <c r="C44" s="17"/>
      <c r="D44" s="17"/>
      <c r="E44" s="17"/>
      <c r="F44" s="17"/>
      <c r="G44" s="40" t="str">
        <f t="shared" si="2"/>
        <v/>
      </c>
      <c r="H44" s="17" t="str">
        <f t="shared" si="3"/>
        <v/>
      </c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>
      <c r="A45" s="28"/>
      <c r="B45" s="25"/>
      <c r="C45" s="25"/>
      <c r="D45" s="25"/>
      <c r="E45" s="25"/>
      <c r="F45" s="25"/>
      <c r="G45" s="42" t="str">
        <f t="shared" si="2"/>
        <v/>
      </c>
      <c r="H45" s="25" t="str">
        <f t="shared" si="3"/>
        <v/>
      </c>
      <c r="I45" s="2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>
      <c r="A46" s="29"/>
      <c r="B46" s="17"/>
      <c r="C46" s="17"/>
      <c r="D46" s="17"/>
      <c r="E46" s="17"/>
      <c r="F46" s="17"/>
      <c r="G46" s="40" t="str">
        <f t="shared" si="2"/>
        <v/>
      </c>
      <c r="H46" s="17" t="str">
        <f t="shared" si="3"/>
        <v/>
      </c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>
      <c r="A47" s="28"/>
      <c r="B47" s="25"/>
      <c r="C47" s="25"/>
      <c r="D47" s="25"/>
      <c r="E47" s="25"/>
      <c r="F47" s="25"/>
      <c r="G47" s="42" t="str">
        <f t="shared" si="2"/>
        <v/>
      </c>
      <c r="H47" s="25" t="str">
        <f t="shared" si="3"/>
        <v/>
      </c>
      <c r="I47" s="2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" customHeight="1">
      <c r="A48" s="29"/>
      <c r="B48" s="17"/>
      <c r="C48" s="17"/>
      <c r="D48" s="17"/>
      <c r="E48" s="17"/>
      <c r="F48" s="17"/>
      <c r="G48" s="40" t="str">
        <f t="shared" si="2"/>
        <v/>
      </c>
      <c r="H48" s="17" t="str">
        <f t="shared" si="3"/>
        <v/>
      </c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" customHeight="1">
      <c r="A49" s="28"/>
      <c r="B49" s="25"/>
      <c r="C49" s="25"/>
      <c r="D49" s="25"/>
      <c r="E49" s="25"/>
      <c r="F49" s="25"/>
      <c r="G49" s="42" t="str">
        <f t="shared" si="2"/>
        <v/>
      </c>
      <c r="H49" s="25" t="str">
        <f t="shared" si="3"/>
        <v/>
      </c>
      <c r="I49" s="2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>
      <c r="A50" s="29"/>
      <c r="B50" s="17"/>
      <c r="C50" s="17"/>
      <c r="D50" s="17"/>
      <c r="E50" s="17"/>
      <c r="F50" s="17"/>
      <c r="G50" s="40" t="str">
        <f t="shared" si="2"/>
        <v/>
      </c>
      <c r="H50" s="17" t="str">
        <f t="shared" si="3"/>
        <v/>
      </c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" customHeight="1">
      <c r="A51" s="28"/>
      <c r="B51" s="25"/>
      <c r="C51" s="25"/>
      <c r="D51" s="25"/>
      <c r="E51" s="25"/>
      <c r="F51" s="25"/>
      <c r="G51" s="42" t="str">
        <f t="shared" si="2"/>
        <v/>
      </c>
      <c r="H51" s="25" t="str">
        <f t="shared" si="3"/>
        <v/>
      </c>
      <c r="I51" s="2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" customHeight="1">
      <c r="A52" s="29"/>
      <c r="B52" s="17"/>
      <c r="C52" s="17"/>
      <c r="D52" s="17"/>
      <c r="E52" s="17"/>
      <c r="F52" s="17"/>
      <c r="G52" s="40" t="str">
        <f t="shared" si="2"/>
        <v/>
      </c>
      <c r="H52" s="17" t="str">
        <f t="shared" si="3"/>
        <v/>
      </c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" customHeight="1">
      <c r="A53" s="28"/>
      <c r="B53" s="25"/>
      <c r="C53" s="25"/>
      <c r="D53" s="25"/>
      <c r="E53" s="25"/>
      <c r="F53" s="25"/>
      <c r="G53" s="42" t="str">
        <f t="shared" si="2"/>
        <v/>
      </c>
      <c r="H53" s="25" t="str">
        <f t="shared" si="3"/>
        <v/>
      </c>
      <c r="I53" s="2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" customHeight="1">
      <c r="A54" s="29"/>
      <c r="B54" s="17"/>
      <c r="C54" s="17"/>
      <c r="D54" s="17"/>
      <c r="E54" s="17"/>
      <c r="F54" s="17"/>
      <c r="G54" s="40" t="str">
        <f t="shared" si="2"/>
        <v/>
      </c>
      <c r="H54" s="17" t="str">
        <f t="shared" si="3"/>
        <v/>
      </c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>
      <c r="A55" s="28"/>
      <c r="B55" s="25"/>
      <c r="C55" s="25"/>
      <c r="D55" s="25"/>
      <c r="E55" s="25"/>
      <c r="F55" s="25"/>
      <c r="G55" s="42" t="str">
        <f t="shared" si="2"/>
        <v/>
      </c>
      <c r="H55" s="25" t="str">
        <f t="shared" si="3"/>
        <v/>
      </c>
      <c r="I55" s="2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>
      <c r="A56" s="29"/>
      <c r="B56" s="17"/>
      <c r="C56" s="17"/>
      <c r="D56" s="17"/>
      <c r="E56" s="17"/>
      <c r="F56" s="17"/>
      <c r="G56" s="40" t="str">
        <f t="shared" si="2"/>
        <v/>
      </c>
      <c r="H56" s="17" t="str">
        <f t="shared" si="3"/>
        <v/>
      </c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>
      <c r="A57" s="28"/>
      <c r="B57" s="25"/>
      <c r="C57" s="25"/>
      <c r="D57" s="25"/>
      <c r="E57" s="25"/>
      <c r="F57" s="25"/>
      <c r="G57" s="42" t="str">
        <f t="shared" si="2"/>
        <v/>
      </c>
      <c r="H57" s="25" t="str">
        <f t="shared" si="3"/>
        <v/>
      </c>
      <c r="I57" s="2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>
      <c r="A58" s="29"/>
      <c r="B58" s="17"/>
      <c r="C58" s="17"/>
      <c r="D58" s="17"/>
      <c r="E58" s="17"/>
      <c r="F58" s="17"/>
      <c r="G58" s="40" t="str">
        <f t="shared" si="2"/>
        <v/>
      </c>
      <c r="H58" s="17" t="str">
        <f t="shared" si="3"/>
        <v/>
      </c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" customHeight="1">
      <c r="A59" s="28"/>
      <c r="B59" s="25"/>
      <c r="C59" s="25"/>
      <c r="D59" s="25"/>
      <c r="E59" s="25"/>
      <c r="F59" s="25"/>
      <c r="G59" s="42" t="str">
        <f t="shared" si="2"/>
        <v/>
      </c>
      <c r="H59" s="25" t="str">
        <f t="shared" si="3"/>
        <v/>
      </c>
      <c r="I59" s="2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" customHeight="1">
      <c r="A60" s="29"/>
      <c r="B60" s="17"/>
      <c r="C60" s="17"/>
      <c r="D60" s="17"/>
      <c r="E60" s="17"/>
      <c r="F60" s="17"/>
      <c r="G60" s="40" t="str">
        <f t="shared" si="2"/>
        <v/>
      </c>
      <c r="H60" s="17" t="str">
        <f t="shared" si="3"/>
        <v/>
      </c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" customHeight="1">
      <c r="A61" s="28"/>
      <c r="B61" s="25"/>
      <c r="C61" s="25"/>
      <c r="D61" s="25"/>
      <c r="E61" s="25"/>
      <c r="F61" s="25"/>
      <c r="G61" s="42" t="str">
        <f t="shared" si="2"/>
        <v/>
      </c>
      <c r="H61" s="25" t="str">
        <f t="shared" si="3"/>
        <v/>
      </c>
      <c r="I61" s="2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>
      <c r="A62" s="29"/>
      <c r="B62" s="17"/>
      <c r="C62" s="17"/>
      <c r="D62" s="17"/>
      <c r="E62" s="17"/>
      <c r="F62" s="17"/>
      <c r="G62" s="40" t="str">
        <f t="shared" si="2"/>
        <v/>
      </c>
      <c r="H62" s="17" t="str">
        <f t="shared" si="3"/>
        <v/>
      </c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" customHeight="1">
      <c r="A63" s="28"/>
      <c r="B63" s="25"/>
      <c r="C63" s="25"/>
      <c r="D63" s="25"/>
      <c r="E63" s="25"/>
      <c r="F63" s="25"/>
      <c r="G63" s="42" t="str">
        <f t="shared" si="2"/>
        <v/>
      </c>
      <c r="H63" s="25" t="str">
        <f t="shared" si="3"/>
        <v/>
      </c>
      <c r="I63" s="2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" customHeight="1">
      <c r="A64" s="29"/>
      <c r="B64" s="17"/>
      <c r="C64" s="17"/>
      <c r="D64" s="17"/>
      <c r="E64" s="17"/>
      <c r="F64" s="17"/>
      <c r="G64" s="40" t="str">
        <f t="shared" si="2"/>
        <v/>
      </c>
      <c r="H64" s="17" t="str">
        <f t="shared" si="3"/>
        <v/>
      </c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" customHeight="1">
      <c r="A65" s="28"/>
      <c r="B65" s="25"/>
      <c r="C65" s="25"/>
      <c r="D65" s="25"/>
      <c r="E65" s="25"/>
      <c r="F65" s="25"/>
      <c r="G65" s="42" t="str">
        <f t="shared" si="2"/>
        <v/>
      </c>
      <c r="H65" s="25" t="str">
        <f t="shared" si="3"/>
        <v/>
      </c>
      <c r="I65" s="2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" customHeight="1">
      <c r="A66" s="29"/>
      <c r="B66" s="17"/>
      <c r="C66" s="17"/>
      <c r="D66" s="17"/>
      <c r="E66" s="17"/>
      <c r="F66" s="17"/>
      <c r="G66" s="40" t="str">
        <f t="shared" si="2"/>
        <v/>
      </c>
      <c r="H66" s="17" t="str">
        <f t="shared" si="3"/>
        <v/>
      </c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" customHeight="1">
      <c r="A67" s="28"/>
      <c r="B67" s="25"/>
      <c r="C67" s="25"/>
      <c r="D67" s="25"/>
      <c r="E67" s="25"/>
      <c r="F67" s="25"/>
      <c r="G67" s="42" t="str">
        <f t="shared" si="2"/>
        <v/>
      </c>
      <c r="H67" s="25" t="str">
        <f t="shared" si="3"/>
        <v/>
      </c>
      <c r="I67" s="2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" customHeight="1">
      <c r="A68" s="29"/>
      <c r="B68" s="17"/>
      <c r="C68" s="17"/>
      <c r="D68" s="17"/>
      <c r="E68" s="17"/>
      <c r="F68" s="17"/>
      <c r="G68" s="40" t="str">
        <f t="shared" si="2"/>
        <v/>
      </c>
      <c r="H68" s="17" t="str">
        <f t="shared" si="3"/>
        <v/>
      </c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" customHeight="1">
      <c r="A69" s="28"/>
      <c r="B69" s="25"/>
      <c r="C69" s="25"/>
      <c r="D69" s="25"/>
      <c r="E69" s="25"/>
      <c r="F69" s="25"/>
      <c r="G69" s="42" t="str">
        <f t="shared" ref="G69:G100" si="4">IF(OR(E69="",F69=""),"",F69/E69)</f>
        <v/>
      </c>
      <c r="H69" s="25" t="str">
        <f t="shared" ref="H69:H100" si="5">IF(G69="","",IF(G69&gt;=0.9,"Excellent",IF(G69&gt;=0.75,"Secure",IF(G69&gt;=0.6,"Developing","Needs Revision"))))</f>
        <v/>
      </c>
      <c r="I69" s="2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" customHeight="1">
      <c r="A70" s="29"/>
      <c r="B70" s="17"/>
      <c r="C70" s="17"/>
      <c r="D70" s="17"/>
      <c r="E70" s="17"/>
      <c r="F70" s="17"/>
      <c r="G70" s="40" t="str">
        <f t="shared" si="4"/>
        <v/>
      </c>
      <c r="H70" s="17" t="str">
        <f t="shared" si="5"/>
        <v/>
      </c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" customHeight="1">
      <c r="A71" s="28"/>
      <c r="B71" s="25"/>
      <c r="C71" s="25"/>
      <c r="D71" s="25"/>
      <c r="E71" s="25"/>
      <c r="F71" s="25"/>
      <c r="G71" s="42" t="str">
        <f t="shared" si="4"/>
        <v/>
      </c>
      <c r="H71" s="25" t="str">
        <f t="shared" si="5"/>
        <v/>
      </c>
      <c r="I71" s="2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" customHeight="1">
      <c r="A72" s="29"/>
      <c r="B72" s="17"/>
      <c r="C72" s="17"/>
      <c r="D72" s="17"/>
      <c r="E72" s="17"/>
      <c r="F72" s="17"/>
      <c r="G72" s="40" t="str">
        <f t="shared" si="4"/>
        <v/>
      </c>
      <c r="H72" s="17" t="str">
        <f t="shared" si="5"/>
        <v/>
      </c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" customHeight="1">
      <c r="A73" s="28"/>
      <c r="B73" s="25"/>
      <c r="C73" s="25"/>
      <c r="D73" s="25"/>
      <c r="E73" s="25"/>
      <c r="F73" s="25"/>
      <c r="G73" s="42" t="str">
        <f t="shared" si="4"/>
        <v/>
      </c>
      <c r="H73" s="25" t="str">
        <f t="shared" si="5"/>
        <v/>
      </c>
      <c r="I73" s="2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" customHeight="1">
      <c r="A74" s="29"/>
      <c r="B74" s="17"/>
      <c r="C74" s="17"/>
      <c r="D74" s="17"/>
      <c r="E74" s="17"/>
      <c r="F74" s="17"/>
      <c r="G74" s="40" t="str">
        <f t="shared" si="4"/>
        <v/>
      </c>
      <c r="H74" s="17" t="str">
        <f t="shared" si="5"/>
        <v/>
      </c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" customHeight="1">
      <c r="A75" s="28"/>
      <c r="B75" s="25"/>
      <c r="C75" s="25"/>
      <c r="D75" s="25"/>
      <c r="E75" s="25"/>
      <c r="F75" s="25"/>
      <c r="G75" s="42" t="str">
        <f t="shared" si="4"/>
        <v/>
      </c>
      <c r="H75" s="25" t="str">
        <f t="shared" si="5"/>
        <v/>
      </c>
      <c r="I75" s="2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" customHeight="1">
      <c r="A76" s="29"/>
      <c r="B76" s="17"/>
      <c r="C76" s="17"/>
      <c r="D76" s="17"/>
      <c r="E76" s="17"/>
      <c r="F76" s="17"/>
      <c r="G76" s="40" t="str">
        <f t="shared" si="4"/>
        <v/>
      </c>
      <c r="H76" s="17" t="str">
        <f t="shared" si="5"/>
        <v/>
      </c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" customHeight="1">
      <c r="A77" s="28"/>
      <c r="B77" s="25"/>
      <c r="C77" s="25"/>
      <c r="D77" s="25"/>
      <c r="E77" s="25"/>
      <c r="F77" s="25"/>
      <c r="G77" s="42" t="str">
        <f t="shared" si="4"/>
        <v/>
      </c>
      <c r="H77" s="25" t="str">
        <f t="shared" si="5"/>
        <v/>
      </c>
      <c r="I77" s="2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" customHeight="1">
      <c r="A78" s="29"/>
      <c r="B78" s="17"/>
      <c r="C78" s="17"/>
      <c r="D78" s="17"/>
      <c r="E78" s="17"/>
      <c r="F78" s="17"/>
      <c r="G78" s="40" t="str">
        <f t="shared" si="4"/>
        <v/>
      </c>
      <c r="H78" s="17" t="str">
        <f t="shared" si="5"/>
        <v/>
      </c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" customHeight="1">
      <c r="A79" s="28"/>
      <c r="B79" s="25"/>
      <c r="C79" s="25"/>
      <c r="D79" s="25"/>
      <c r="E79" s="25"/>
      <c r="F79" s="25"/>
      <c r="G79" s="42" t="str">
        <f t="shared" si="4"/>
        <v/>
      </c>
      <c r="H79" s="25" t="str">
        <f t="shared" si="5"/>
        <v/>
      </c>
      <c r="I79" s="2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" customHeight="1">
      <c r="A80" s="29"/>
      <c r="B80" s="17"/>
      <c r="C80" s="17"/>
      <c r="D80" s="17"/>
      <c r="E80" s="17"/>
      <c r="F80" s="17"/>
      <c r="G80" s="40" t="str">
        <f t="shared" si="4"/>
        <v/>
      </c>
      <c r="H80" s="17" t="str">
        <f t="shared" si="5"/>
        <v/>
      </c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" customHeight="1">
      <c r="A81" s="28"/>
      <c r="B81" s="25"/>
      <c r="C81" s="25"/>
      <c r="D81" s="25"/>
      <c r="E81" s="25"/>
      <c r="F81" s="25"/>
      <c r="G81" s="42" t="str">
        <f t="shared" si="4"/>
        <v/>
      </c>
      <c r="H81" s="25" t="str">
        <f t="shared" si="5"/>
        <v/>
      </c>
      <c r="I81" s="2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" customHeight="1">
      <c r="A82" s="29"/>
      <c r="B82" s="17"/>
      <c r="C82" s="17"/>
      <c r="D82" s="17"/>
      <c r="E82" s="17"/>
      <c r="F82" s="17"/>
      <c r="G82" s="40" t="str">
        <f t="shared" si="4"/>
        <v/>
      </c>
      <c r="H82" s="17" t="str">
        <f t="shared" si="5"/>
        <v/>
      </c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" customHeight="1">
      <c r="A83" s="28"/>
      <c r="B83" s="25"/>
      <c r="C83" s="25"/>
      <c r="D83" s="25"/>
      <c r="E83" s="25"/>
      <c r="F83" s="25"/>
      <c r="G83" s="42" t="str">
        <f t="shared" si="4"/>
        <v/>
      </c>
      <c r="H83" s="25" t="str">
        <f t="shared" si="5"/>
        <v/>
      </c>
      <c r="I83" s="2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" customHeight="1">
      <c r="A84" s="29"/>
      <c r="B84" s="17"/>
      <c r="C84" s="17"/>
      <c r="D84" s="17"/>
      <c r="E84" s="17"/>
      <c r="F84" s="17"/>
      <c r="G84" s="40" t="str">
        <f t="shared" si="4"/>
        <v/>
      </c>
      <c r="H84" s="17" t="str">
        <f t="shared" si="5"/>
        <v/>
      </c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" customHeight="1">
      <c r="A85" s="28"/>
      <c r="B85" s="25"/>
      <c r="C85" s="25"/>
      <c r="D85" s="25"/>
      <c r="E85" s="25"/>
      <c r="F85" s="25"/>
      <c r="G85" s="42" t="str">
        <f t="shared" si="4"/>
        <v/>
      </c>
      <c r="H85" s="25" t="str">
        <f t="shared" si="5"/>
        <v/>
      </c>
      <c r="I85" s="2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" customHeight="1">
      <c r="A86" s="29"/>
      <c r="B86" s="17"/>
      <c r="C86" s="17"/>
      <c r="D86" s="17"/>
      <c r="E86" s="17"/>
      <c r="F86" s="17"/>
      <c r="G86" s="40" t="str">
        <f t="shared" si="4"/>
        <v/>
      </c>
      <c r="H86" s="17" t="str">
        <f t="shared" si="5"/>
        <v/>
      </c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" customHeight="1">
      <c r="A87" s="28"/>
      <c r="B87" s="25"/>
      <c r="C87" s="25"/>
      <c r="D87" s="25"/>
      <c r="E87" s="25"/>
      <c r="F87" s="25"/>
      <c r="G87" s="42" t="str">
        <f t="shared" si="4"/>
        <v/>
      </c>
      <c r="H87" s="25" t="str">
        <f t="shared" si="5"/>
        <v/>
      </c>
      <c r="I87" s="2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" customHeight="1">
      <c r="A88" s="29"/>
      <c r="B88" s="17"/>
      <c r="C88" s="17"/>
      <c r="D88" s="17"/>
      <c r="E88" s="17"/>
      <c r="F88" s="17"/>
      <c r="G88" s="40" t="str">
        <f t="shared" si="4"/>
        <v/>
      </c>
      <c r="H88" s="17" t="str">
        <f t="shared" si="5"/>
        <v/>
      </c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" customHeight="1">
      <c r="A89" s="28"/>
      <c r="B89" s="25"/>
      <c r="C89" s="25"/>
      <c r="D89" s="25"/>
      <c r="E89" s="25"/>
      <c r="F89" s="25"/>
      <c r="G89" s="42" t="str">
        <f t="shared" si="4"/>
        <v/>
      </c>
      <c r="H89" s="25" t="str">
        <f t="shared" si="5"/>
        <v/>
      </c>
      <c r="I89" s="2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" customHeight="1">
      <c r="A90" s="29"/>
      <c r="B90" s="17"/>
      <c r="C90" s="17"/>
      <c r="D90" s="17"/>
      <c r="E90" s="17"/>
      <c r="F90" s="17"/>
      <c r="G90" s="40" t="str">
        <f t="shared" si="4"/>
        <v/>
      </c>
      <c r="H90" s="17" t="str">
        <f t="shared" si="5"/>
        <v/>
      </c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" customHeight="1">
      <c r="A91" s="28"/>
      <c r="B91" s="25"/>
      <c r="C91" s="25"/>
      <c r="D91" s="25"/>
      <c r="E91" s="25"/>
      <c r="F91" s="25"/>
      <c r="G91" s="42" t="str">
        <f t="shared" si="4"/>
        <v/>
      </c>
      <c r="H91" s="25" t="str">
        <f t="shared" si="5"/>
        <v/>
      </c>
      <c r="I91" s="2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" customHeight="1">
      <c r="A92" s="29"/>
      <c r="B92" s="17"/>
      <c r="C92" s="17"/>
      <c r="D92" s="17"/>
      <c r="E92" s="17"/>
      <c r="F92" s="17"/>
      <c r="G92" s="40" t="str">
        <f t="shared" si="4"/>
        <v/>
      </c>
      <c r="H92" s="17" t="str">
        <f t="shared" si="5"/>
        <v/>
      </c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" customHeight="1">
      <c r="A93" s="28"/>
      <c r="B93" s="25"/>
      <c r="C93" s="25"/>
      <c r="D93" s="25"/>
      <c r="E93" s="25"/>
      <c r="F93" s="25"/>
      <c r="G93" s="42" t="str">
        <f t="shared" si="4"/>
        <v/>
      </c>
      <c r="H93" s="25" t="str">
        <f t="shared" si="5"/>
        <v/>
      </c>
      <c r="I93" s="2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" customHeight="1">
      <c r="A94" s="29"/>
      <c r="B94" s="17"/>
      <c r="C94" s="17"/>
      <c r="D94" s="17"/>
      <c r="E94" s="17"/>
      <c r="F94" s="17"/>
      <c r="G94" s="40" t="str">
        <f t="shared" si="4"/>
        <v/>
      </c>
      <c r="H94" s="17" t="str">
        <f t="shared" si="5"/>
        <v/>
      </c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" customHeight="1">
      <c r="A95" s="28"/>
      <c r="B95" s="25"/>
      <c r="C95" s="25"/>
      <c r="D95" s="25"/>
      <c r="E95" s="25"/>
      <c r="F95" s="25"/>
      <c r="G95" s="42" t="str">
        <f t="shared" si="4"/>
        <v/>
      </c>
      <c r="H95" s="25" t="str">
        <f t="shared" si="5"/>
        <v/>
      </c>
      <c r="I95" s="2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" customHeight="1">
      <c r="A96" s="29"/>
      <c r="B96" s="17"/>
      <c r="C96" s="17"/>
      <c r="D96" s="17"/>
      <c r="E96" s="17"/>
      <c r="F96" s="17"/>
      <c r="G96" s="40" t="str">
        <f t="shared" si="4"/>
        <v/>
      </c>
      <c r="H96" s="17" t="str">
        <f t="shared" si="5"/>
        <v/>
      </c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" customHeight="1">
      <c r="A97" s="28"/>
      <c r="B97" s="25"/>
      <c r="C97" s="25"/>
      <c r="D97" s="25"/>
      <c r="E97" s="25"/>
      <c r="F97" s="25"/>
      <c r="G97" s="42" t="str">
        <f t="shared" si="4"/>
        <v/>
      </c>
      <c r="H97" s="25" t="str">
        <f t="shared" si="5"/>
        <v/>
      </c>
      <c r="I97" s="2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" customHeight="1">
      <c r="A98" s="29"/>
      <c r="B98" s="17"/>
      <c r="C98" s="17"/>
      <c r="D98" s="17"/>
      <c r="E98" s="17"/>
      <c r="F98" s="17"/>
      <c r="G98" s="40" t="str">
        <f t="shared" si="4"/>
        <v/>
      </c>
      <c r="H98" s="17" t="str">
        <f t="shared" si="5"/>
        <v/>
      </c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" customHeight="1">
      <c r="A99" s="28"/>
      <c r="B99" s="25"/>
      <c r="C99" s="25"/>
      <c r="D99" s="25"/>
      <c r="E99" s="25"/>
      <c r="F99" s="25"/>
      <c r="G99" s="42" t="str">
        <f t="shared" si="4"/>
        <v/>
      </c>
      <c r="H99" s="25" t="str">
        <f t="shared" si="5"/>
        <v/>
      </c>
      <c r="I99" s="2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" customHeight="1">
      <c r="A100" s="29"/>
      <c r="B100" s="17"/>
      <c r="C100" s="17"/>
      <c r="D100" s="17"/>
      <c r="E100" s="17"/>
      <c r="F100" s="17"/>
      <c r="G100" s="40" t="str">
        <f t="shared" si="4"/>
        <v/>
      </c>
      <c r="H100" s="17" t="str">
        <f t="shared" si="5"/>
        <v/>
      </c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" customHeight="1">
      <c r="A101" s="28"/>
      <c r="B101" s="25"/>
      <c r="C101" s="25"/>
      <c r="D101" s="25"/>
      <c r="E101" s="25"/>
      <c r="F101" s="25"/>
      <c r="G101" s="42" t="str">
        <f t="shared" ref="G101:G104" si="6">IF(OR(E101="",F101=""),"",F101/E101)</f>
        <v/>
      </c>
      <c r="H101" s="25" t="str">
        <f t="shared" ref="H101:H104" si="7">IF(G101="","",IF(G101&gt;=0.9,"Excellent",IF(G101&gt;=0.75,"Secure",IF(G101&gt;=0.6,"Developing","Needs Revision"))))</f>
        <v/>
      </c>
      <c r="I101" s="2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" customHeight="1">
      <c r="A102" s="29"/>
      <c r="B102" s="17"/>
      <c r="C102" s="17"/>
      <c r="D102" s="17"/>
      <c r="E102" s="17"/>
      <c r="F102" s="17"/>
      <c r="G102" s="40" t="str">
        <f t="shared" si="6"/>
        <v/>
      </c>
      <c r="H102" s="17" t="str">
        <f t="shared" si="7"/>
        <v/>
      </c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" customHeight="1">
      <c r="A103" s="28"/>
      <c r="B103" s="25"/>
      <c r="C103" s="25"/>
      <c r="D103" s="25"/>
      <c r="E103" s="25"/>
      <c r="F103" s="25"/>
      <c r="G103" s="42" t="str">
        <f t="shared" si="6"/>
        <v/>
      </c>
      <c r="H103" s="25" t="str">
        <f t="shared" si="7"/>
        <v/>
      </c>
      <c r="I103" s="2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" customHeight="1">
      <c r="A104" s="30"/>
      <c r="B104" s="20"/>
      <c r="C104" s="20"/>
      <c r="D104" s="20"/>
      <c r="E104" s="20"/>
      <c r="F104" s="20"/>
      <c r="G104" s="41" t="str">
        <f t="shared" si="6"/>
        <v/>
      </c>
      <c r="H104" s="20" t="str">
        <f t="shared" si="7"/>
        <v/>
      </c>
      <c r="I104" s="2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mergeCells count="2">
    <mergeCell ref="A1:I1"/>
    <mergeCell ref="A2:I2"/>
  </mergeCells>
  <conditionalFormatting sqref="G5:G104">
    <cfRule type="colorScale" priority="1">
      <colorScale>
        <cfvo type="min"/>
        <cfvo type="percentile" val="50"/>
        <cfvo type="max"/>
        <color rgb="FFF4CCCC"/>
        <color rgb="FFFCE5CD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Lists!$A$5:$A$7</xm:f>
          </x14:formula1>
          <xm:sqref>B5:B104</xm:sqref>
        </x14:dataValidation>
        <x14:dataValidation type="list" xr:uid="{00000000-0002-0000-0800-000001000000}">
          <x14:formula1>
            <xm:f>Lists!$D$5:$D$13</xm:f>
          </x14:formula1>
          <xm:sqref>D5:D104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Attendance</vt:lpstr>
      <vt:lpstr>Lists</vt:lpstr>
      <vt:lpstr>How to Use</vt:lpstr>
      <vt:lpstr>Students</vt:lpstr>
      <vt:lpstr>Lesson Log</vt:lpstr>
      <vt:lpstr>Progress</vt:lpstr>
      <vt:lpstr>Class Plan</vt:lpstr>
      <vt:lpstr>Homework</vt:lpstr>
      <vt:lpstr>Assessments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 Mudhir</cp:lastModifiedBy>
  <dcterms:modified xsi:type="dcterms:W3CDTF">2026-10-17T11:24:14Z</dcterms:modified>
</cp:coreProperties>
</file>